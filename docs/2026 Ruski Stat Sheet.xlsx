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 Season Standings" sheetId="1" r:id="rId5"/>
    <sheet state="visible" name="Season Stats" sheetId="2" r:id="rId6"/>
    <sheet state="visible" name="Team Stats" sheetId="3" r:id="rId7"/>
    <sheet state="visible" name="Playoff Stats" sheetId="4" r:id="rId8"/>
    <sheet state="visible" name="Playoff Bracket (16)" sheetId="5" r:id="rId9"/>
    <sheet state="visible" name="Blank Scorecard" sheetId="6" r:id="rId10"/>
    <sheet state="visible" name="JPShu vs EvHulu" sheetId="7" r:id="rId11"/>
    <sheet state="visible" name="BrandoHeath vs. Hispanics" sheetId="8" r:id="rId12"/>
    <sheet state="visible" name="CamHam vs. WigsBoggs" sheetId="9" r:id="rId13"/>
    <sheet state="visible" name="MatiTakoa vs. BlumeRaza" sheetId="10" r:id="rId14"/>
    <sheet state="visible" name="HuddyCreamer vs AnsonPierre" sheetId="11" r:id="rId15"/>
    <sheet state="visible" name="BrandoHeath vs. TolsmaEmilio" sheetId="12" r:id="rId16"/>
    <sheet state="visible" name="HuluEverett vs HomoToban" sheetId="13" r:id="rId17"/>
    <sheet state="visible" name="BagnavReed vs. Chamoui" sheetId="14" r:id="rId18"/>
    <sheet state="visible" name="WigsBoggs vs. NamonitorByrne" sheetId="15" r:id="rId19"/>
    <sheet state="visible" name="HuddyCreamer vs BrockVinny" sheetId="16" r:id="rId20"/>
    <sheet state="visible" name="SarchChuddy vs. JPShu" sheetId="17" r:id="rId21"/>
    <sheet state="visible" name="S16- PierreAnson vs GrantBash" sheetId="18" r:id="rId22"/>
    <sheet state="visible" name="Ex Football vs. Hispanics" sheetId="19" r:id="rId23"/>
    <sheet state="visible" name="BurtisRonny vs. ShuJP" sheetId="20" r:id="rId24"/>
    <sheet state="visible" name="SarchChuddee vs. HeathBrando" sheetId="21" r:id="rId25"/>
    <sheet state="visible" name="Heath + Brando vs. King + Cred" sheetId="22" r:id="rId26"/>
    <sheet state="visible" name="KidGlizz vs MatianSchre" sheetId="23" r:id="rId27"/>
    <sheet state="visible" name="JPShu vs BashMullen" sheetId="24" r:id="rId28"/>
    <sheet state="visible" name="guacomo did it vs ansonpierre" sheetId="25" r:id="rId29"/>
    <sheet state="visible" name="NamanLiam vs ManndrewBBJ(Digs)" sheetId="26" r:id="rId30"/>
    <sheet state="visible" name="Spics vs. Hicks" sheetId="27" r:id="rId31"/>
    <sheet state="visible" name="Swingin Dicks vs HudsCreamer" sheetId="28" r:id="rId32"/>
    <sheet state="visible" name="HuluEv vs. VoelkPlump" sheetId="29" r:id="rId33"/>
    <sheet state="visible" name="India vs. Hicks" sheetId="30" r:id="rId34"/>
    <sheet state="visible" name="AleBonn vs. GrantBash" sheetId="31" r:id="rId35"/>
    <sheet state="visible" name="BrockVinny vs. AkashVish" sheetId="32" r:id="rId36"/>
    <sheet state="visible" name="BooloGriss vs. GiacSkatz" sheetId="33" r:id="rId37"/>
    <sheet state="visible" name="WigsBoggs vs. BelloKeith" sheetId="34" r:id="rId38"/>
    <sheet state="visible" name="Bagnav vs. Mandrew" sheetId="35" r:id="rId39"/>
    <sheet state="visible" name="blumeraza vs pumpkinburger" sheetId="36" r:id="rId40"/>
    <sheet state="visible" name="Swingin Dicks vs Baby GlizzThe " sheetId="37" r:id="rId41"/>
    <sheet state="visible" name="Helicockter vs. WiggsBoggs" sheetId="38" r:id="rId42"/>
    <sheet state="visible" name="BrockVinny vs AlbrightWilder" sheetId="39" r:id="rId43"/>
    <sheet state="visible" name="TacoMati vs VishAkash" sheetId="40" r:id="rId44"/>
    <sheet state="visible" name="BoggsWiggs vs CamHam" sheetId="41" r:id="rId45"/>
    <sheet state="visible" name="BenRonnie vs AleBonn" sheetId="42" r:id="rId46"/>
    <sheet state="visible" name="AnsonPierre vs HOMOToban" sheetId="43" r:id="rId47"/>
    <sheet state="visible" name="shermbaggie vs brandoheath" sheetId="44" r:id="rId48"/>
    <sheet state="visible" name="SchreDylan + Matian vs CreamerH" sheetId="45" r:id="rId49"/>
    <sheet state="visible" name="GeednavReed vs ByrnsieNaman" sheetId="46" r:id="rId50"/>
    <sheet state="visible" name="BurtisRonny vs. GrantBash" sheetId="47" r:id="rId51"/>
    <sheet state="visible" name="Blumaza vs. PJChrizz" sheetId="48" r:id="rId52"/>
    <sheet state="visible" name="NamanByrnzey vs. ZayMike" sheetId="49" r:id="rId53"/>
    <sheet state="visible" name="SquidwardSpongebob vs FordJP" sheetId="50" r:id="rId54"/>
    <sheet state="visible" name="BooloGriss v TobanHomo" sheetId="51" r:id="rId55"/>
    <sheet state="visible" name="KeithBello vs CesteroMessina" sheetId="52" r:id="rId56"/>
    <sheet state="visible" name="ChrisPJ vs EverettHulu" sheetId="53" r:id="rId57"/>
    <sheet state="visible" name="MillerIsaiah vs. PranavReed" sheetId="54" r:id="rId58"/>
    <sheet state="visible" name="SarchChuddie vs. MackieShermak" sheetId="55" r:id="rId59"/>
    <sheet state="visible" name="HenryDoody vs. GiacSammy" sheetId="56" r:id="rId60"/>
    <sheet state="visible" name="IsraelKid vs StolzCreamer" sheetId="57" r:id="rId61"/>
    <sheet state="visible" name="CamHam vs. Cestina" sheetId="58" r:id="rId62"/>
    <sheet state="visible" name="Britain vs. BooloJohn G" sheetId="59" r:id="rId63"/>
    <sheet state="visible" name="Swinging Dicks vs Raging Pussie" sheetId="60" r:id="rId64"/>
    <sheet state="visible" name="SarchChuddy vs. CredKing" sheetId="61" r:id="rId65"/>
    <sheet state="visible" name="CredKing vs. ShawshankRackie" sheetId="62" r:id="rId66"/>
    <sheet state="visible" name="AllData" sheetId="63" r:id="rId67"/>
  </sheets>
  <definedNames>
    <definedName hidden="1" localSheetId="1" name="_xlnm._FilterDatabase">'Season Stats'!$B$2:$K$72</definedName>
    <definedName hidden="1" localSheetId="2" name="_xlnm._FilterDatabase">'Team Stats'!$B$2:$K$35</definedName>
    <definedName hidden="1" localSheetId="3" name="_xlnm._FilterDatabase">'Playoff Stats'!$B$2:$K$34</definedName>
  </definedNames>
  <calcPr/>
</workbook>
</file>

<file path=xl/sharedStrings.xml><?xml version="1.0" encoding="utf-8"?>
<sst xmlns="http://schemas.openxmlformats.org/spreadsheetml/2006/main" count="3171" uniqueCount="267">
  <si>
    <t>Seed</t>
  </si>
  <si>
    <t>Pod A</t>
  </si>
  <si>
    <t>Record</t>
  </si>
  <si>
    <t>Cup Diff</t>
  </si>
  <si>
    <t>Shooting %</t>
  </si>
  <si>
    <t>Pod E</t>
  </si>
  <si>
    <t>Pierre/Anson</t>
  </si>
  <si>
    <t>3-0</t>
  </si>
  <si>
    <t>+7</t>
  </si>
  <si>
    <t>Bonn/Ale</t>
  </si>
  <si>
    <t>1-2</t>
  </si>
  <si>
    <t>+0</t>
  </si>
  <si>
    <t>Giacomo/Skatz</t>
  </si>
  <si>
    <t>Curtis/Ronilo</t>
  </si>
  <si>
    <t>-6</t>
  </si>
  <si>
    <t>Toban/Homo</t>
  </si>
  <si>
    <t>2-1</t>
  </si>
  <si>
    <t>-3</t>
  </si>
  <si>
    <t>Bash/Grant Mullen</t>
  </si>
  <si>
    <t>+3</t>
  </si>
  <si>
    <t>Arturo/Griss</t>
  </si>
  <si>
    <t>0-3</t>
  </si>
  <si>
    <t>-4</t>
  </si>
  <si>
    <t>Shuford/JP</t>
  </si>
  <si>
    <t>Pod B</t>
  </si>
  <si>
    <t>Pod F</t>
  </si>
  <si>
    <t>Cam/Ham</t>
  </si>
  <si>
    <t>+1</t>
  </si>
  <si>
    <t>Naman/Liam</t>
  </si>
  <si>
    <t>Wigs/Boggs</t>
  </si>
  <si>
    <t>+5</t>
  </si>
  <si>
    <t>Isaiah/Mike</t>
  </si>
  <si>
    <t>Bello/Keith</t>
  </si>
  <si>
    <t>Digs/Manndrew</t>
  </si>
  <si>
    <t>Cestero/Messina</t>
  </si>
  <si>
    <t>Reed/Pranav</t>
  </si>
  <si>
    <t>Pod C</t>
  </si>
  <si>
    <t>Pod G</t>
  </si>
  <si>
    <t>Everett/Hulu</t>
  </si>
  <si>
    <t>Vish/Akash</t>
  </si>
  <si>
    <t>Blume/Raza</t>
  </si>
  <si>
    <t>Brock/Vinny</t>
  </si>
  <si>
    <t>Plump/Voelker</t>
  </si>
  <si>
    <t>-2</t>
  </si>
  <si>
    <t>Mati/Takoa</t>
  </si>
  <si>
    <t>PJ/Chrizz</t>
  </si>
  <si>
    <t>-8</t>
  </si>
  <si>
    <t>Albright/Wilder</t>
  </si>
  <si>
    <t>Pod D</t>
  </si>
  <si>
    <t>Pod H</t>
  </si>
  <si>
    <t>Chuckdee/Sarch</t>
  </si>
  <si>
    <t>+8</t>
  </si>
  <si>
    <t>Schreder/Matian</t>
  </si>
  <si>
    <t>-1</t>
  </si>
  <si>
    <t>Brando/Heath</t>
  </si>
  <si>
    <t>Creamer/Hudson</t>
  </si>
  <si>
    <t>+4</t>
  </si>
  <si>
    <t>Creditor/King</t>
  </si>
  <si>
    <t>-9</t>
  </si>
  <si>
    <t>Tolsma/Emilio</t>
  </si>
  <si>
    <t>Shawnak/Mackie</t>
  </si>
  <si>
    <t>-7</t>
  </si>
  <si>
    <t>The Kid/Baby Glizz</t>
  </si>
  <si>
    <t>Shooter</t>
  </si>
  <si>
    <t>Shooting</t>
  </si>
  <si>
    <t>Cups Made</t>
  </si>
  <si>
    <t>Cups Missed</t>
  </si>
  <si>
    <t>Splash-Out</t>
  </si>
  <si>
    <t>Guy</t>
  </si>
  <si>
    <t>Tri</t>
  </si>
  <si>
    <t>Di</t>
  </si>
  <si>
    <t>Un</t>
  </si>
  <si>
    <t>Vom</t>
  </si>
  <si>
    <t>Joe Raza</t>
  </si>
  <si>
    <t>Charlie Truesdale</t>
  </si>
  <si>
    <t>Zach Wilson</t>
  </si>
  <si>
    <t>Heath Lawry</t>
  </si>
  <si>
    <t>Matt Schreder</t>
  </si>
  <si>
    <t>Charlie King</t>
  </si>
  <si>
    <t>Drew Albright</t>
  </si>
  <si>
    <t>Shawnak Shenoy</t>
  </si>
  <si>
    <t>Will Creamer</t>
  </si>
  <si>
    <t>Anson Mies</t>
  </si>
  <si>
    <t>Brock Benton</t>
  </si>
  <si>
    <t>Naman Kulkarni</t>
  </si>
  <si>
    <t>Luke Brandon</t>
  </si>
  <si>
    <t>John Tolsma</t>
  </si>
  <si>
    <t>Michael Messina</t>
  </si>
  <si>
    <t>Max Creditor</t>
  </si>
  <si>
    <t>Charlie Boggs</t>
  </si>
  <si>
    <t>Takoa Cartwright</t>
  </si>
  <si>
    <t>Henry Lewis</t>
  </si>
  <si>
    <t>Toban Doody</t>
  </si>
  <si>
    <t>Zach Israel</t>
  </si>
  <si>
    <t>Jaden Pearlmutter</t>
  </si>
  <si>
    <t>Evan Sarchio</t>
  </si>
  <si>
    <t>Jack Wigmore</t>
  </si>
  <si>
    <t>Mackie Wallwork</t>
  </si>
  <si>
    <t>Isaiah Boyles</t>
  </si>
  <si>
    <t>Hudson Stolz</t>
  </si>
  <si>
    <t>Pierre Gathy</t>
  </si>
  <si>
    <t>Dylan and Matian</t>
  </si>
  <si>
    <t>Will Bello</t>
  </si>
  <si>
    <t>Max Bonnstetter</t>
  </si>
  <si>
    <t>Kavishka Bartlett</t>
  </si>
  <si>
    <t>Akash Mishra</t>
  </si>
  <si>
    <t>Mati Gandarias</t>
  </si>
  <si>
    <t>Arturo Martinez</t>
  </si>
  <si>
    <t>Gabriel Blumenschein</t>
  </si>
  <si>
    <t>Josh Cestero</t>
  </si>
  <si>
    <t>Vinny Drolet</t>
  </si>
  <si>
    <t>Sammy Katz</t>
  </si>
  <si>
    <t>Ford Tate</t>
  </si>
  <si>
    <t>Andrew Plumpton</t>
  </si>
  <si>
    <t>Alejandro Montero</t>
  </si>
  <si>
    <t>Michael Dignazio</t>
  </si>
  <si>
    <t>Gabriel Hamoui</t>
  </si>
  <si>
    <t>Keith Buenrostro</t>
  </si>
  <si>
    <t>John Grissinger</t>
  </si>
  <si>
    <t>PJ Ogilvie</t>
  </si>
  <si>
    <t>Mike Miller</t>
  </si>
  <si>
    <t>Liam Byrne</t>
  </si>
  <si>
    <t>Reed Schoenfeld</t>
  </si>
  <si>
    <t>Giacomo Pugliese</t>
  </si>
  <si>
    <t>Henry Morrison</t>
  </si>
  <si>
    <t>AJ Cashman</t>
  </si>
  <si>
    <t>Jack Voelker</t>
  </si>
  <si>
    <t>Emilio Garcia</t>
  </si>
  <si>
    <t>Pranav Ravulapati</t>
  </si>
  <si>
    <t>Zach Bashour</t>
  </si>
  <si>
    <t>Grant Mullen</t>
  </si>
  <si>
    <t>Jack Ronilo</t>
  </si>
  <si>
    <t>Ben Curtis</t>
  </si>
  <si>
    <t>Camden Reeves</t>
  </si>
  <si>
    <t>Jack Wilder</t>
  </si>
  <si>
    <t>Chris Connors</t>
  </si>
  <si>
    <t>Everett Schroeder</t>
  </si>
  <si>
    <t>Andrew Mann</t>
  </si>
  <si>
    <t>Team</t>
  </si>
  <si>
    <t>Charlie/Sarchio</t>
  </si>
  <si>
    <t>Schreder/Dylan and Matian</t>
  </si>
  <si>
    <t>Anson/Pierre</t>
  </si>
  <si>
    <t>JP/Ford</t>
  </si>
  <si>
    <t>Kavishka/Akash</t>
  </si>
  <si>
    <t>Emilio/Tolsma</t>
  </si>
  <si>
    <t>Alejandro/Bonn</t>
  </si>
  <si>
    <t>Isaiah/Mike Miller</t>
  </si>
  <si>
    <t>Plump/Voelkbeezy</t>
  </si>
  <si>
    <t>Camden/Hamoui</t>
  </si>
  <si>
    <t>PJ/Chris Connors</t>
  </si>
  <si>
    <t>Sweet 16</t>
  </si>
  <si>
    <t>Elite 8</t>
  </si>
  <si>
    <t>Final 4</t>
  </si>
  <si>
    <t>Championship</t>
  </si>
  <si>
    <t>(1) Brando/Heath</t>
  </si>
  <si>
    <t>(6) Chuckdee/Sarch</t>
  </si>
  <si>
    <t>(16) Tolsma/Emilio</t>
  </si>
  <si>
    <t>Champion</t>
  </si>
  <si>
    <t>(11) Ford/JP</t>
  </si>
  <si>
    <t>Hott Region</t>
  </si>
  <si>
    <t>Carteaux Region</t>
  </si>
  <si>
    <t>(8) Blume/Raza</t>
  </si>
  <si>
    <t>(3) Ev/Hulu</t>
  </si>
  <si>
    <t>(9) Mati/Takoa</t>
  </si>
  <si>
    <t>(14) Toban/Homo</t>
  </si>
  <si>
    <t>(5) Pranav/Reed</t>
  </si>
  <si>
    <t>(7) Creamer/Hudson</t>
  </si>
  <si>
    <t>(12) Cam/Ham</t>
  </si>
  <si>
    <t>(10) Brock/Vinny</t>
  </si>
  <si>
    <t>Pruitt Region</t>
  </si>
  <si>
    <t>Aldridge Region</t>
  </si>
  <si>
    <t>(4) Wigs/Boggs</t>
  </si>
  <si>
    <t>(2) Pierre/Anson</t>
  </si>
  <si>
    <t>(13) Naman/Liam</t>
  </si>
  <si>
    <t>(15) Bash/Mullen</t>
  </si>
  <si>
    <t>LIVE GAME</t>
  </si>
  <si>
    <t>Miss</t>
  </si>
  <si>
    <t>Make</t>
  </si>
  <si>
    <t>Shooter 1:</t>
  </si>
  <si>
    <t>Shooter 2:</t>
  </si>
  <si>
    <t>Teams</t>
  </si>
  <si>
    <t>Shot</t>
  </si>
  <si>
    <t>FINAL</t>
  </si>
  <si>
    <t xml:space="preserve">Shooter 1: </t>
  </si>
  <si>
    <t>Emilio</t>
  </si>
  <si>
    <t>Hudson</t>
  </si>
  <si>
    <t>Tolsma</t>
  </si>
  <si>
    <t>Creamer</t>
  </si>
  <si>
    <t>Wiggs</t>
  </si>
  <si>
    <t>Bello</t>
  </si>
  <si>
    <t>Boggs</t>
  </si>
  <si>
    <t>Keith</t>
  </si>
  <si>
    <t>Hamoui</t>
  </si>
  <si>
    <t>Camden</t>
  </si>
  <si>
    <t>Cestero</t>
  </si>
  <si>
    <t>Messina</t>
  </si>
  <si>
    <t>overtime</t>
  </si>
  <si>
    <t>Henry</t>
  </si>
  <si>
    <t>Giacomo</t>
  </si>
  <si>
    <t>Toban</t>
  </si>
  <si>
    <t>Sammy</t>
  </si>
  <si>
    <t>Evan</t>
  </si>
  <si>
    <t>Max</t>
  </si>
  <si>
    <t>Charlie</t>
  </si>
  <si>
    <t>Mackie</t>
  </si>
  <si>
    <t>Shawnak</t>
  </si>
  <si>
    <t>Game</t>
  </si>
  <si>
    <t>Player</t>
  </si>
  <si>
    <t>Makes</t>
  </si>
  <si>
    <t>Regular Season Standings</t>
  </si>
  <si>
    <t>Playoff Stats</t>
  </si>
  <si>
    <t>Playoff Bracket (16)</t>
  </si>
  <si>
    <t>Brando/Heath vs. Hispanics</t>
  </si>
  <si>
    <t>Cam/Ham vs. Wigs/Boggs</t>
  </si>
  <si>
    <t>Mati/Takoa vs. Blume/Raza</t>
  </si>
  <si>
    <t>Huddy/Creamer vs Anson/Pierre</t>
  </si>
  <si>
    <t>Brando/Heath vs. Tolsma/Emilio</t>
  </si>
  <si>
    <t>Hulu/Everett vs Homo/Toban</t>
  </si>
  <si>
    <t>Bagnav/Reed vs. Chamoui</t>
  </si>
  <si>
    <t>Wigs/Boggs vs. Namonitor/Byrne</t>
  </si>
  <si>
    <t>Huddy/Creamer vs Brock/Vinny</t>
  </si>
  <si>
    <t>Sarch/Chuddy vs. JP/Shu</t>
  </si>
  <si>
    <t>S16- Pierre/Anson vs Grant/Bash</t>
  </si>
  <si>
    <t>Ex Football vs. Hispanics</t>
  </si>
  <si>
    <t>Burtis/Ronny vs. Shu/JP</t>
  </si>
  <si>
    <t>Sarch/Chuddee vs. Heath/Brando</t>
  </si>
  <si>
    <t>Heath + Brando vs. King + Cred</t>
  </si>
  <si>
    <t>Kid/Glizz vs Matian/Schre</t>
  </si>
  <si>
    <t>JP/Shu vs Bash/Mullen</t>
  </si>
  <si>
    <t>guacomo did it vs anson/pierre</t>
  </si>
  <si>
    <t>Naman/Liam vs Manndrew/BBJ(Digs)</t>
  </si>
  <si>
    <t>Spics vs. Hicks</t>
  </si>
  <si>
    <t>Swingin' Dicks vs Huds/Creamer</t>
  </si>
  <si>
    <t>HuluEv vs. VoelkPlump</t>
  </si>
  <si>
    <t>India vs. Hicks</t>
  </si>
  <si>
    <t>AleBonn vs. Grant/Bash</t>
  </si>
  <si>
    <t>Brock/Vinny vs. Akash/Vish</t>
  </si>
  <si>
    <t>Boolo/Griss vs. Giac/Skatz</t>
  </si>
  <si>
    <t>Wigs/Boggs vs. Bello/Keith</t>
  </si>
  <si>
    <t>Bagnav vs. Mandrew</t>
  </si>
  <si>
    <t>blume/raza vs pumpkin/burger</t>
  </si>
  <si>
    <t>Swingin' Dicks vs Baby Glizz/The Kid</t>
  </si>
  <si>
    <t>Helicockter vs. Wiggs/Boggs</t>
  </si>
  <si>
    <t>Brock/Vinny vs Albright/Wilder</t>
  </si>
  <si>
    <t>Taco/Mati vs Vish/Akash</t>
  </si>
  <si>
    <t>Boggs/Wiggs vs Cam/Ham</t>
  </si>
  <si>
    <t>Ben/Ronnie vs Ale/Bonn</t>
  </si>
  <si>
    <t>Anson/Pierre vs HOMO/Toban</t>
  </si>
  <si>
    <t>sherm/baggie vs brando/heath</t>
  </si>
  <si>
    <t>Schre/Dylan + Matian vs Creamer/Hudson</t>
  </si>
  <si>
    <t>Geednav/Reed vs Byrnsie/Naman</t>
  </si>
  <si>
    <t>Burtis/Ronny vs. Grant/Bash</t>
  </si>
  <si>
    <t>Blumaza vs. PJ/Chrizz</t>
  </si>
  <si>
    <t>Naman/Byrnzey vs. Zay/Mike</t>
  </si>
  <si>
    <t>Squidward/Spongebob vs Ford/JP</t>
  </si>
  <si>
    <t>Boolo/Griss v Toban/Homo</t>
  </si>
  <si>
    <t>Keith/Bello vs Cestero/Messina</t>
  </si>
  <si>
    <t>Chris/PJ vs Everett/Hulu</t>
  </si>
  <si>
    <t>Miller/Isaiah vs. Pranav/Reed</t>
  </si>
  <si>
    <t>Sarch/Chuddie vs. Mackie/Shermak</t>
  </si>
  <si>
    <t>Henry/Doody vs. Giac/Sammy</t>
  </si>
  <si>
    <t>Israel/Kid vs Stolz/Creamer</t>
  </si>
  <si>
    <t>Cam/Ham vs. Cestina</t>
  </si>
  <si>
    <t>Britain vs. Boolo/John G</t>
  </si>
  <si>
    <t>Swinging Dicks vs Raging Pussies</t>
  </si>
  <si>
    <t>Sarch/Chuddy vs. Cred/King</t>
  </si>
  <si>
    <t>Cred/King vs. Shawshank/Rackie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</si>
</sst>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sz val="12.0"/>
      <color theme="1"/>
      <name val="Arial"/>
      <scheme val="minor"/>
    </font>
    <font/>
    <font>
      <b/>
      <sz val="20.0"/>
      <color theme="1"/>
      <name val="Arial"/>
      <scheme val="minor"/>
    </font>
    <font>
      <color theme="1"/>
      <name val="Arial"/>
    </font>
    <font>
      <b/>
      <color theme="1"/>
      <name val="Arial"/>
    </font>
    <font>
      <sz val="10.0"/>
      <color rgb="FF000000"/>
      <name val="Arial"/>
    </font>
    <font>
      <color rgb="FFCCCCCC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2" numFmtId="0" xfId="0" applyAlignment="1" applyBorder="1" applyFont="1">
      <alignment readingOrder="0"/>
    </xf>
    <xf borderId="5" fillId="3" fontId="2" numFmtId="0" xfId="0" applyAlignment="1" applyBorder="1" applyFill="1" applyFont="1">
      <alignment readingOrder="0"/>
    </xf>
    <xf borderId="0" fillId="2" fontId="1" numFmtId="0" xfId="0" applyFont="1"/>
    <xf borderId="6" fillId="2" fontId="1" numFmtId="0" xfId="0" applyBorder="1" applyFont="1"/>
    <xf borderId="4" fillId="2" fontId="1" numFmtId="0" xfId="0" applyAlignment="1" applyBorder="1" applyFont="1">
      <alignment readingOrder="0"/>
    </xf>
    <xf borderId="5" fillId="4" fontId="1" numFmtId="0" xfId="0" applyAlignment="1" applyBorder="1" applyFill="1" applyFont="1">
      <alignment readingOrder="0"/>
    </xf>
    <xf borderId="5" fillId="5" fontId="1" numFmtId="0" xfId="0" applyAlignment="1" applyBorder="1" applyFill="1" applyFont="1">
      <alignment readingOrder="0"/>
    </xf>
    <xf borderId="5" fillId="4" fontId="1" numFmtId="49" xfId="0" applyAlignment="1" applyBorder="1" applyFont="1" applyNumberFormat="1">
      <alignment horizontal="right" readingOrder="0"/>
    </xf>
    <xf quotePrefix="1" borderId="5" fillId="0" fontId="1" numFmtId="0" xfId="0" applyAlignment="1" applyBorder="1" applyFont="1">
      <alignment horizontal="right" readingOrder="0"/>
    </xf>
    <xf borderId="5" fillId="4" fontId="1" numFmtId="10" xfId="0" applyAlignment="1" applyBorder="1" applyFont="1" applyNumberFormat="1">
      <alignment horizontal="right" readingOrder="0"/>
    </xf>
    <xf borderId="4" fillId="2" fontId="1" numFmtId="0" xfId="0" applyBorder="1" applyFont="1"/>
    <xf borderId="7" fillId="2" fontId="1" numFmtId="0" xfId="0" applyBorder="1" applyFont="1"/>
    <xf borderId="0" fillId="2" fontId="1" numFmtId="49" xfId="0" applyAlignment="1" applyFont="1" applyNumberFormat="1">
      <alignment horizontal="right"/>
    </xf>
    <xf borderId="0" fillId="2" fontId="1" numFmtId="10" xfId="0" applyFont="1" applyNumberFormat="1"/>
    <xf borderId="8" fillId="2" fontId="1" numFmtId="0" xfId="0" applyBorder="1" applyFont="1"/>
    <xf borderId="9" fillId="2" fontId="1" numFmtId="0" xfId="0" applyBorder="1" applyFont="1"/>
    <xf borderId="10" fillId="2" fontId="1" numFmtId="0" xfId="0" applyBorder="1" applyFont="1"/>
    <xf borderId="1" fillId="2" fontId="3" numFmtId="0" xfId="0" applyBorder="1" applyFont="1"/>
    <xf borderId="2" fillId="2" fontId="3" numFmtId="0" xfId="0" applyBorder="1" applyFont="1"/>
    <xf borderId="3" fillId="2" fontId="3" numFmtId="0" xfId="0" applyBorder="1" applyFont="1"/>
    <xf borderId="0" fillId="0" fontId="3" numFmtId="0" xfId="0" applyFont="1"/>
    <xf borderId="4" fillId="2" fontId="3" numFmtId="0" xfId="0" applyBorder="1" applyFont="1"/>
    <xf borderId="0" fillId="3" fontId="4" numFmtId="0" xfId="0" applyAlignment="1" applyFont="1">
      <alignment horizontal="left" readingOrder="0" shrinkToFit="0" vertical="center" wrapText="0"/>
    </xf>
    <xf borderId="6" fillId="2" fontId="3" numFmtId="0" xfId="0" applyBorder="1" applyFont="1"/>
    <xf borderId="4" fillId="2" fontId="3" numFmtId="0" xfId="0" applyAlignment="1" applyBorder="1" applyFont="1">
      <alignment readingOrder="0"/>
    </xf>
    <xf borderId="0" fillId="0" fontId="3" numFmtId="0" xfId="0" applyAlignment="1" applyFont="1">
      <alignment readingOrder="0" shrinkToFit="0" vertical="center" wrapText="0"/>
    </xf>
    <xf borderId="0" fillId="0" fontId="3" numFmtId="10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9" fillId="2" fontId="3" numFmtId="0" xfId="0" applyBorder="1" applyFont="1"/>
    <xf borderId="10" fillId="2" fontId="3" numFmtId="0" xfId="0" applyBorder="1" applyFont="1"/>
    <xf borderId="8" fillId="2" fontId="3" numFmtId="0" xfId="0" applyBorder="1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4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Border="1" applyFont="1"/>
    <xf borderId="2" fillId="0" fontId="1" numFmtId="49" xfId="0" applyAlignment="1" applyBorder="1" applyFont="1" applyNumberFormat="1">
      <alignment vertical="bottom"/>
    </xf>
    <xf borderId="2" fillId="0" fontId="1" numFmtId="0" xfId="0" applyAlignment="1" applyBorder="1" applyFont="1">
      <alignment vertical="bottom"/>
    </xf>
    <xf borderId="2" fillId="0" fontId="5" numFmtId="49" xfId="0" applyAlignment="1" applyBorder="1" applyFont="1" applyNumberFormat="1">
      <alignment horizontal="center" readingOrder="0" vertical="bottom"/>
    </xf>
    <xf borderId="2" fillId="0" fontId="5" numFmtId="49" xfId="0" applyAlignment="1" applyBorder="1" applyFont="1" applyNumberFormat="1">
      <alignment horizontal="center" vertical="bottom"/>
    </xf>
    <xf borderId="3" fillId="0" fontId="5" numFmtId="49" xfId="0" applyAlignment="1" applyBorder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10" fillId="2" fontId="1" numFmtId="0" xfId="0" applyAlignment="1" applyBorder="1" applyFont="1">
      <alignment horizontal="center" readingOrder="0"/>
    </xf>
    <xf borderId="10" fillId="2" fontId="1" numFmtId="49" xfId="0" applyAlignment="1" applyBorder="1" applyFont="1" applyNumberFormat="1">
      <alignment readingOrder="0" vertical="bottom"/>
    </xf>
    <xf borderId="0" fillId="2" fontId="1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6" fillId="2" fontId="1" numFmtId="49" xfId="0" applyBorder="1" applyFont="1" applyNumberFormat="1"/>
    <xf borderId="0" fillId="0" fontId="1" numFmtId="49" xfId="0" applyFont="1" applyNumberFormat="1"/>
    <xf borderId="4" fillId="2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6" fillId="0" fontId="1" numFmtId="49" xfId="0" applyAlignment="1" applyBorder="1" applyFont="1" applyNumberFormat="1">
      <alignment readingOrder="0" vertical="bottom"/>
    </xf>
    <xf borderId="4" fillId="2" fontId="1" numFmtId="49" xfId="0" applyAlignment="1" applyBorder="1" applyFont="1" applyNumberFormat="1">
      <alignment vertical="bottom"/>
    </xf>
    <xf borderId="6" fillId="2" fontId="1" numFmtId="49" xfId="0" applyAlignment="1" applyBorder="1" applyFont="1" applyNumberFormat="1">
      <alignment vertical="bottom"/>
    </xf>
    <xf borderId="4" fillId="0" fontId="1" numFmtId="49" xfId="0" applyAlignment="1" applyBorder="1" applyFont="1" applyNumberFormat="1">
      <alignment readingOrder="0" vertical="bottom"/>
    </xf>
    <xf borderId="6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8" fillId="0" fontId="1" numFmtId="49" xfId="0" applyAlignment="1" applyBorder="1" applyFont="1" applyNumberFormat="1">
      <alignment readingOrder="0" vertical="bottom"/>
    </xf>
    <xf borderId="11" fillId="0" fontId="5" numFmtId="0" xfId="0" applyAlignment="1" applyBorder="1" applyFont="1">
      <alignment horizontal="center" readingOrder="0" vertical="bottom"/>
    </xf>
    <xf borderId="12" fillId="0" fontId="6" numFmtId="0" xfId="0" applyBorder="1" applyFont="1"/>
    <xf borderId="13" fillId="0" fontId="6" numFmtId="0" xfId="0" applyBorder="1" applyFont="1"/>
    <xf borderId="9" fillId="0" fontId="1" numFmtId="49" xfId="0" applyAlignment="1" applyBorder="1" applyFont="1" applyNumberFormat="1">
      <alignment readingOrder="0" vertical="bottom"/>
    </xf>
    <xf borderId="8" fillId="0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vertical="bottom"/>
    </xf>
    <xf borderId="14" fillId="6" fontId="3" numFmtId="0" xfId="0" applyAlignment="1" applyBorder="1" applyFill="1" applyFont="1">
      <alignment horizontal="center" vertical="bottom"/>
    </xf>
    <xf borderId="15" fillId="0" fontId="6" numFmtId="0" xfId="0" applyBorder="1" applyFont="1"/>
    <xf borderId="16" fillId="0" fontId="6" numFmtId="0" xfId="0" applyBorder="1" applyFont="1"/>
    <xf borderId="4" fillId="2" fontId="7" numFmtId="0" xfId="0" applyAlignment="1" applyBorder="1" applyFont="1">
      <alignment horizontal="center" readingOrder="0" shrinkToFit="0" vertical="center" wrapText="1"/>
    </xf>
    <xf borderId="1" fillId="7" fontId="7" numFmtId="0" xfId="0" applyAlignment="1" applyBorder="1" applyFill="1" applyFont="1">
      <alignment horizontal="center" readingOrder="0" shrinkToFit="0" vertical="center" wrapText="1"/>
    </xf>
    <xf borderId="3" fillId="0" fontId="6" numFmtId="0" xfId="0" applyBorder="1" applyFont="1"/>
    <xf borderId="1" fillId="8" fontId="7" numFmtId="49" xfId="0" applyAlignment="1" applyBorder="1" applyFill="1" applyFont="1" applyNumberFormat="1">
      <alignment horizontal="center" readingOrder="0" shrinkToFit="0" vertical="center" wrapText="1"/>
    </xf>
    <xf borderId="6" fillId="2" fontId="5" numFmtId="49" xfId="0" applyAlignment="1" applyBorder="1" applyFont="1" applyNumberFormat="1">
      <alignment horizontal="center" readingOrder="0"/>
    </xf>
    <xf borderId="4" fillId="0" fontId="6" numFmtId="0" xfId="0" applyBorder="1" applyFont="1"/>
    <xf borderId="6" fillId="0" fontId="6" numFmtId="0" xfId="0" applyBorder="1" applyFont="1"/>
    <xf borderId="9" fillId="2" fontId="1" numFmtId="49" xfId="0" applyAlignment="1" applyBorder="1" applyFont="1" applyNumberFormat="1">
      <alignment vertical="bottom"/>
    </xf>
    <xf borderId="1" fillId="0" fontId="1" numFmtId="0" xfId="0" applyAlignment="1" applyBorder="1" applyFont="1">
      <alignment horizontal="center" readingOrder="0"/>
    </xf>
    <xf borderId="3" fillId="0" fontId="1" numFmtId="49" xfId="0" applyAlignment="1" applyBorder="1" applyFont="1" applyNumberFormat="1">
      <alignment vertical="bottom"/>
    </xf>
    <xf borderId="0" fillId="2" fontId="5" numFmtId="0" xfId="0" applyAlignment="1" applyFont="1">
      <alignment horizontal="center" vertical="bottom"/>
    </xf>
    <xf borderId="1" fillId="0" fontId="1" numFmtId="49" xfId="0" applyAlignment="1" applyBorder="1" applyFont="1" applyNumberFormat="1">
      <alignment vertical="bottom"/>
    </xf>
    <xf borderId="3" fillId="0" fontId="1" numFmtId="0" xfId="0" applyAlignment="1" applyBorder="1" applyFont="1">
      <alignment horizontal="center" readingOrder="0"/>
    </xf>
    <xf borderId="8" fillId="2" fontId="1" numFmtId="49" xfId="0" applyAlignment="1" applyBorder="1" applyFont="1" applyNumberFormat="1">
      <alignment vertical="bottom"/>
    </xf>
    <xf borderId="6" fillId="2" fontId="0" numFmtId="49" xfId="0" applyAlignment="1" applyBorder="1" applyFont="1" applyNumberFormat="1">
      <alignment horizontal="center" readingOrder="0"/>
    </xf>
    <xf borderId="0" fillId="6" fontId="0" numFmtId="49" xfId="0" applyAlignment="1" applyFont="1" applyNumberFormat="1">
      <alignment horizontal="center" readingOrder="0"/>
    </xf>
    <xf borderId="1" fillId="2" fontId="1" numFmtId="49" xfId="0" applyAlignment="1" applyBorder="1" applyFont="1" applyNumberFormat="1">
      <alignment vertical="bottom"/>
    </xf>
    <xf borderId="8" fillId="0" fontId="1" numFmtId="49" xfId="0" applyAlignment="1" applyBorder="1" applyFont="1" applyNumberFormat="1">
      <alignment vertical="bottom"/>
    </xf>
    <xf borderId="9" fillId="0" fontId="1" numFmtId="49" xfId="0" applyAlignment="1" applyBorder="1" applyFont="1" applyNumberFormat="1">
      <alignment vertical="bottom"/>
    </xf>
    <xf borderId="3" fillId="2" fontId="1" numFmtId="49" xfId="0" applyAlignment="1" applyBorder="1" applyFont="1" applyNumberFormat="1">
      <alignment vertical="bottom"/>
    </xf>
    <xf borderId="9" fillId="0" fontId="6" numFmtId="0" xfId="0" applyBorder="1" applyFont="1"/>
    <xf borderId="8" fillId="0" fontId="6" numFmtId="0" xfId="0" applyBorder="1" applyFont="1"/>
    <xf borderId="6" fillId="2" fontId="5" numFmtId="49" xfId="0" applyAlignment="1" applyBorder="1" applyFont="1" applyNumberFormat="1">
      <alignment horizontal="center"/>
    </xf>
    <xf borderId="0" fillId="0" fontId="5" numFmtId="49" xfId="0" applyAlignment="1" applyFont="1" applyNumberFormat="1">
      <alignment horizontal="center"/>
    </xf>
    <xf borderId="11" fillId="0" fontId="1" numFmtId="0" xfId="0" applyAlignment="1" applyBorder="1" applyFont="1">
      <alignment horizontal="center" readingOrder="0"/>
    </xf>
    <xf borderId="12" fillId="0" fontId="1" numFmtId="49" xfId="0" applyAlignment="1" applyBorder="1" applyFont="1" applyNumberFormat="1">
      <alignment vertical="bottom"/>
    </xf>
    <xf borderId="13" fillId="0" fontId="1" numFmtId="0" xfId="0" applyAlignment="1" applyBorder="1" applyFont="1">
      <alignment vertical="bottom"/>
    </xf>
    <xf borderId="3" fillId="0" fontId="1" numFmtId="49" xfId="0" applyAlignment="1" applyBorder="1" applyFont="1" applyNumberFormat="1">
      <alignment readingOrder="0" vertical="bottom"/>
    </xf>
    <xf borderId="14" fillId="0" fontId="1" numFmtId="0" xfId="0" applyAlignment="1" applyBorder="1" applyFont="1">
      <alignment vertical="bottom"/>
    </xf>
    <xf borderId="15" fillId="0" fontId="1" numFmtId="49" xfId="0" applyAlignment="1" applyBorder="1" applyFont="1" applyNumberFormat="1">
      <alignment vertical="bottom"/>
    </xf>
    <xf borderId="16" fillId="0" fontId="1" numFmtId="0" xfId="0" applyAlignment="1" applyBorder="1" applyFont="1">
      <alignment horizontal="center" readingOrder="0"/>
    </xf>
    <xf borderId="1" fillId="0" fontId="1" numFmtId="49" xfId="0" applyAlignment="1" applyBorder="1" applyFont="1" applyNumberFormat="1">
      <alignment readingOrder="0" vertical="bottom"/>
    </xf>
    <xf borderId="1" fillId="9" fontId="7" numFmtId="0" xfId="0" applyAlignment="1" applyBorder="1" applyFill="1" applyFont="1">
      <alignment horizontal="center" readingOrder="0" shrinkToFit="0" vertical="center" wrapText="1"/>
    </xf>
    <xf borderId="1" fillId="10" fontId="7" numFmtId="49" xfId="0" applyAlignment="1" applyBorder="1" applyFill="1" applyFont="1" applyNumberFormat="1">
      <alignment horizontal="center" readingOrder="0" shrinkToFit="0" vertical="center" wrapText="1"/>
    </xf>
    <xf borderId="10" fillId="2" fontId="1" numFmtId="0" xfId="0" applyBorder="1" applyFont="1"/>
    <xf borderId="10" fillId="2" fontId="1" numFmtId="49" xfId="0" applyBorder="1" applyFont="1" applyNumberFormat="1"/>
    <xf borderId="8" fillId="2" fontId="1" numFmtId="49" xfId="0" applyBorder="1" applyFont="1" applyNumberFormat="1"/>
    <xf borderId="0" fillId="0" fontId="1" numFmtId="0" xfId="0" applyFont="1"/>
    <xf borderId="4" fillId="2" fontId="8" numFmtId="0" xfId="0" applyAlignment="1" applyBorder="1" applyFont="1">
      <alignment vertical="bottom"/>
    </xf>
    <xf borderId="1" fillId="0" fontId="8" numFmtId="0" xfId="0" applyAlignment="1" applyBorder="1" applyFont="1">
      <alignment readingOrder="0" vertical="bottom"/>
    </xf>
    <xf borderId="2" fillId="0" fontId="8" numFmtId="0" xfId="0" applyAlignment="1" applyBorder="1" applyFont="1">
      <alignment vertical="bottom"/>
    </xf>
    <xf borderId="2" fillId="0" fontId="9" numFmtId="0" xfId="0" applyAlignment="1" applyBorder="1" applyFont="1">
      <alignment horizontal="left" shrinkToFit="0" vertical="bottom" wrapText="0"/>
    </xf>
    <xf borderId="2" fillId="0" fontId="9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shrinkToFit="0" wrapText="0"/>
    </xf>
    <xf borderId="2" fillId="0" fontId="8" numFmtId="0" xfId="0" applyAlignment="1" applyBorder="1" applyFont="1">
      <alignment horizontal="left" shrinkToFit="0" vertical="bottom" wrapText="0"/>
    </xf>
    <xf borderId="3" fillId="0" fontId="2" numFmtId="0" xfId="0" applyAlignment="1" applyBorder="1" applyFont="1">
      <alignment horizontal="left" readingOrder="0" shrinkToFit="0" wrapText="0"/>
    </xf>
    <xf borderId="3" fillId="0" fontId="1" numFmtId="0" xfId="0" applyBorder="1" applyFont="1"/>
    <xf borderId="4" fillId="2" fontId="8" numFmtId="0" xfId="0" applyAlignment="1" applyBorder="1" applyFont="1">
      <alignment readingOrder="0" vertical="bottom"/>
    </xf>
    <xf borderId="4" fillId="0" fontId="8" numFmtId="0" xfId="0" applyAlignment="1" applyBorder="1" applyFont="1">
      <alignment readingOrder="0" vertical="bottom"/>
    </xf>
    <xf borderId="0" fillId="0" fontId="8" numFmtId="0" xfId="0" applyAlignment="1" applyFont="1">
      <alignment readingOrder="0" vertical="bottom"/>
    </xf>
    <xf borderId="0" fillId="6" fontId="8" numFmtId="0" xfId="0" applyAlignment="1" applyFont="1">
      <alignment horizontal="left" vertical="bottom"/>
    </xf>
    <xf borderId="4" fillId="0" fontId="1" numFmtId="0" xfId="0" applyAlignment="1" applyBorder="1" applyFont="1">
      <alignment readingOrder="0"/>
    </xf>
    <xf borderId="0" fillId="6" fontId="8" numFmtId="0" xfId="0" applyAlignment="1" applyFont="1">
      <alignment readingOrder="0" vertical="bottom"/>
    </xf>
    <xf borderId="6" fillId="6" fontId="8" numFmtId="0" xfId="0" applyAlignment="1" applyBorder="1" applyFont="1">
      <alignment horizontal="left" vertical="bottom"/>
    </xf>
    <xf borderId="6" fillId="0" fontId="1" numFmtId="0" xfId="0" applyBorder="1" applyFont="1"/>
    <xf borderId="0" fillId="0" fontId="8" numFmtId="0" xfId="0" applyAlignment="1" applyFont="1">
      <alignment horizontal="left" vertical="bottom"/>
    </xf>
    <xf borderId="6" fillId="0" fontId="8" numFmtId="0" xfId="0" applyAlignment="1" applyBorder="1" applyFont="1">
      <alignment horizontal="left" vertical="bottom"/>
    </xf>
    <xf borderId="4" fillId="0" fontId="1" numFmtId="0" xfId="0" applyBorder="1" applyFont="1"/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horizontal="right"/>
    </xf>
    <xf borderId="9" fillId="0" fontId="1" numFmtId="0" xfId="0" applyBorder="1" applyFont="1"/>
    <xf borderId="10" fillId="0" fontId="1" numFmtId="0" xfId="0" applyAlignment="1" applyBorder="1" applyFont="1">
      <alignment readingOrder="0"/>
    </xf>
    <xf borderId="10" fillId="6" fontId="0" numFmtId="10" xfId="0" applyAlignment="1" applyBorder="1" applyFont="1" applyNumberFormat="1">
      <alignment horizontal="right"/>
    </xf>
    <xf borderId="10" fillId="0" fontId="1" numFmtId="0" xfId="0" applyBorder="1" applyFont="1"/>
    <xf borderId="10" fillId="0" fontId="1" numFmtId="10" xfId="0" applyAlignment="1" applyBorder="1" applyFont="1" applyNumberFormat="1">
      <alignment horizontal="right"/>
    </xf>
    <xf borderId="8" fillId="0" fontId="1" numFmtId="0" xfId="0" applyBorder="1" applyFont="1"/>
    <xf borderId="4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0" fillId="11" fontId="2" numFmtId="0" xfId="0" applyAlignment="1" applyBorder="1" applyFill="1" applyFont="1">
      <alignment readingOrder="0"/>
    </xf>
    <xf borderId="10" fillId="8" fontId="2" numFmtId="0" xfId="0" applyAlignment="1" applyBorder="1" applyFont="1">
      <alignment readingOrder="0"/>
    </xf>
    <xf borderId="0" fillId="11" fontId="8" numFmtId="0" xfId="0" applyAlignment="1" applyFont="1">
      <alignment horizontal="left" readingOrder="0" vertical="bottom"/>
    </xf>
    <xf borderId="0" fillId="8" fontId="8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 vertical="bottom"/>
    </xf>
    <xf borderId="0" fillId="0" fontId="1" numFmtId="0" xfId="0" applyAlignment="1" applyFont="1">
      <alignment horizontal="left"/>
    </xf>
    <xf borderId="0" fillId="11" fontId="8" numFmtId="0" xfId="0" applyAlignment="1" applyFont="1">
      <alignment horizontal="left" vertical="bottom"/>
    </xf>
    <xf borderId="0" fillId="8" fontId="8" numFmtId="0" xfId="0" applyAlignment="1" applyFont="1">
      <alignment horizontal="left" vertical="bottom"/>
    </xf>
    <xf borderId="0" fillId="0" fontId="8" numFmtId="0" xfId="0" applyAlignment="1" applyFont="1">
      <alignment horizontal="left" vertical="bottom"/>
    </xf>
    <xf borderId="0" fillId="0" fontId="1" numFmtId="0" xfId="0" applyFont="1"/>
    <xf borderId="0" fillId="8" fontId="8" numFmtId="0" xfId="0" applyAlignment="1" applyFont="1">
      <alignment horizontal="left" vertical="bottom"/>
    </xf>
    <xf borderId="0" fillId="11" fontId="8" numFmtId="0" xfId="0" applyAlignment="1" applyFont="1">
      <alignment horizontal="left" vertical="bottom"/>
    </xf>
    <xf borderId="0" fillId="11" fontId="1" numFmtId="0" xfId="0" applyAlignment="1" applyFont="1">
      <alignment horizontal="left" readingOrder="0"/>
    </xf>
    <xf borderId="0" fillId="8" fontId="1" numFmtId="0" xfId="0" applyAlignment="1" applyFont="1">
      <alignment horizontal="left" readingOrder="0"/>
    </xf>
    <xf borderId="0" fillId="8" fontId="1" numFmtId="0" xfId="0" applyAlignment="1" applyFont="1">
      <alignment horizontal="left"/>
    </xf>
    <xf borderId="0" fillId="11" fontId="1" numFmtId="0" xfId="0" applyAlignment="1" applyFont="1">
      <alignment horizontal="left"/>
    </xf>
    <xf borderId="0" fillId="11" fontId="9" numFmtId="0" xfId="0" applyAlignment="1" applyFont="1">
      <alignment horizontal="left" vertical="bottom"/>
    </xf>
    <xf borderId="0" fillId="8" fontId="9" numFmtId="0" xfId="0" applyAlignment="1" applyFont="1">
      <alignment horizontal="left" vertical="bottom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6" fontId="10" numFmtId="0" xfId="0" applyAlignment="1" applyFont="1">
      <alignment horizontal="left"/>
    </xf>
    <xf borderId="0" fillId="11" fontId="0" numFmtId="0" xfId="0" applyAlignment="1" applyFont="1">
      <alignment horizontal="left"/>
    </xf>
    <xf borderId="17" fillId="2" fontId="1" numFmtId="0" xfId="0" applyBorder="1" applyFont="1"/>
    <xf borderId="10" fillId="11" fontId="1" numFmtId="0" xfId="0" applyAlignment="1" applyBorder="1" applyFont="1">
      <alignment horizontal="left"/>
    </xf>
    <xf borderId="10" fillId="8" fontId="1" numFmtId="0" xfId="0" applyAlignment="1" applyBorder="1" applyFont="1">
      <alignment horizontal="left"/>
    </xf>
    <xf borderId="10" fillId="0" fontId="1" numFmtId="0" xfId="0" applyAlignment="1" applyBorder="1" applyFont="1">
      <alignment horizontal="left"/>
    </xf>
    <xf borderId="10" fillId="2" fontId="1" numFmtId="0" xfId="0" applyAlignment="1" applyBorder="1" applyFont="1">
      <alignment horizontal="left"/>
    </xf>
    <xf borderId="0" fillId="0" fontId="1" numFmtId="0" xfId="0" applyAlignment="1" applyFont="1">
      <alignment horizontal="left" readingOrder="0"/>
    </xf>
    <xf borderId="0" fillId="6" fontId="8" numFmtId="0" xfId="0" applyAlignment="1" applyFont="1">
      <alignment horizontal="left" readingOrder="0" vertical="bottom"/>
    </xf>
    <xf borderId="0" fillId="0" fontId="8" numFmtId="0" xfId="0" applyAlignment="1" applyFont="1">
      <alignment vertical="bottom"/>
    </xf>
    <xf borderId="0" fillId="11" fontId="1" numFmtId="0" xfId="0" applyFont="1"/>
    <xf borderId="0" fillId="8" fontId="1" numFmtId="0" xfId="0" applyAlignment="1" applyFont="1">
      <alignment readingOrder="0"/>
    </xf>
    <xf borderId="0" fillId="11" fontId="1" numFmtId="0" xfId="0" applyAlignment="1" applyFont="1">
      <alignment readingOrder="0"/>
    </xf>
    <xf borderId="0" fillId="8" fontId="1" numFmtId="0" xfId="0" applyFont="1"/>
    <xf borderId="0" fillId="11" fontId="9" numFmtId="0" xfId="0" applyAlignment="1" applyFont="1">
      <alignment vertical="bottom"/>
    </xf>
    <xf borderId="0" fillId="8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11" fontId="8" numFmtId="0" xfId="0" applyAlignment="1" applyFont="1">
      <alignment horizontal="right" vertical="bottom"/>
    </xf>
    <xf borderId="0" fillId="8" fontId="8" numFmtId="0" xfId="0" applyAlignment="1" applyFont="1">
      <alignment horizontal="right" vertical="bottom"/>
    </xf>
    <xf borderId="0" fillId="6" fontId="8" numFmtId="0" xfId="0" applyAlignment="1" applyFont="1">
      <alignment horizontal="right" vertical="bottom"/>
    </xf>
    <xf borderId="0" fillId="6" fontId="10" numFmtId="0" xfId="0" applyAlignment="1" applyFont="1">
      <alignment horizontal="right"/>
    </xf>
    <xf borderId="0" fillId="0" fontId="8" numFmtId="0" xfId="0" applyAlignment="1" applyFont="1">
      <alignment horizontal="right" vertical="bottom"/>
    </xf>
    <xf borderId="0" fillId="11" fontId="0" numFmtId="0" xfId="0" applyAlignment="1" applyFont="1">
      <alignment horizontal="center"/>
    </xf>
    <xf borderId="10" fillId="11" fontId="1" numFmtId="0" xfId="0" applyBorder="1" applyFont="1"/>
    <xf borderId="10" fillId="8" fontId="1" numFmtId="0" xfId="0" applyBorder="1" applyFont="1"/>
    <xf borderId="6" fillId="6" fontId="8" numFmtId="0" xfId="0" applyAlignment="1" applyBorder="1" applyFont="1">
      <alignment horizontal="right" vertical="bottom"/>
    </xf>
    <xf borderId="6" fillId="0" fontId="8" numFmtId="0" xfId="0" applyAlignment="1" applyBorder="1" applyFont="1">
      <alignment horizontal="right" vertical="bottom"/>
    </xf>
    <xf borderId="0" fillId="11" fontId="8" numFmtId="0" xfId="0" applyAlignment="1" applyFont="1">
      <alignment horizontal="right" vertical="bottom"/>
    </xf>
    <xf borderId="0" fillId="8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11" fontId="8" numFmtId="0" xfId="0" applyAlignment="1" applyFont="1">
      <alignment horizontal="right" readingOrder="0" vertical="bottom"/>
    </xf>
    <xf borderId="0" fillId="8" fontId="8" numFmtId="0" xfId="0" applyAlignment="1" applyFont="1">
      <alignment vertical="bottom"/>
    </xf>
    <xf borderId="0" fillId="11" fontId="8" numFmtId="0" xfId="0" applyAlignment="1" applyFont="1">
      <alignment readingOrder="0" vertical="bottom"/>
    </xf>
    <xf borderId="0" fillId="8" fontId="8" numFmtId="0" xfId="0" applyAlignment="1" applyFont="1">
      <alignment horizontal="right" vertical="bottom"/>
    </xf>
    <xf borderId="0" fillId="11" fontId="8" numFmtId="0" xfId="0" applyAlignment="1" applyFont="1">
      <alignment horizontal="center" readingOrder="0" vertical="bottom"/>
    </xf>
    <xf borderId="0" fillId="8" fontId="8" numFmtId="0" xfId="0" applyAlignment="1" applyFont="1">
      <alignment vertical="bottom"/>
    </xf>
    <xf borderId="0" fillId="11" fontId="8" numFmtId="0" xfId="0" applyAlignment="1" applyFont="1">
      <alignment vertical="bottom"/>
    </xf>
    <xf borderId="0" fillId="8" fontId="8" numFmtId="0" xfId="0" applyAlignment="1" applyFont="1">
      <alignment horizontal="right" readingOrder="0" vertical="bottom"/>
    </xf>
    <xf borderId="0" fillId="11" fontId="8" numFmtId="0" xfId="0" applyAlignment="1" applyFont="1">
      <alignment vertical="bottom"/>
    </xf>
    <xf borderId="0" fillId="11" fontId="11" numFmtId="0" xfId="0" applyAlignment="1" applyFont="1">
      <alignment vertical="bottom"/>
    </xf>
    <xf borderId="0" fillId="11" fontId="11" numFmtId="0" xfId="0" applyAlignment="1" applyFont="1">
      <alignment vertical="bottom"/>
    </xf>
    <xf borderId="1" fillId="2" fontId="1" numFmtId="0" xfId="0" applyAlignment="1" applyBorder="1" applyFont="1">
      <alignment readingOrder="0"/>
    </xf>
    <xf borderId="2" fillId="0" fontId="9" numFmtId="0" xfId="0" applyAlignment="1" applyBorder="1" applyFont="1">
      <alignment vertical="bottom"/>
    </xf>
    <xf borderId="2" fillId="0" fontId="9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/>
    </xf>
    <xf borderId="1" fillId="0" fontId="1" numFmtId="0" xfId="0" applyBorder="1" applyFont="1"/>
    <xf borderId="3" fillId="0" fontId="2" numFmtId="0" xfId="0" applyAlignment="1" applyBorder="1" applyFont="1">
      <alignment readingOrder="0"/>
    </xf>
    <xf borderId="0" fillId="0" fontId="8" numFmtId="0" xfId="0" applyAlignment="1" applyFont="1">
      <alignment horizontal="right" readingOrder="0" vertical="bottom"/>
    </xf>
    <xf borderId="4" fillId="0" fontId="8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2" fillId="0" fontId="9" numFmtId="0" xfId="0" applyAlignment="1" applyBorder="1" applyFont="1">
      <alignment horizontal="left" readingOrder="0" vertical="bottom"/>
    </xf>
    <xf borderId="2" fillId="0" fontId="2" numFmtId="0" xfId="0" applyAlignment="1" applyBorder="1" applyFont="1">
      <alignment horizontal="left" readingOrder="0"/>
    </xf>
    <xf borderId="3" fillId="0" fontId="2" numFmtId="0" xfId="0" applyAlignment="1" applyBorder="1" applyFont="1">
      <alignment horizontal="left" readingOrder="0"/>
    </xf>
    <xf borderId="10" fillId="11" fontId="2" numFmtId="0" xfId="0" applyAlignment="1" applyBorder="1" applyFont="1">
      <alignment horizontal="left" readingOrder="0"/>
    </xf>
    <xf borderId="10" fillId="8" fontId="2" numFmtId="0" xfId="0" applyAlignment="1" applyBorder="1" applyFont="1">
      <alignment horizontal="left" readingOrder="0"/>
    </xf>
    <xf borderId="10" fillId="0" fontId="2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3C47D"/>
        </left>
        <right style="thin">
          <color rgb="FF93C47D"/>
        </right>
        <top style="thin">
          <color rgb="FF93C47D"/>
        </top>
        <bottom style="thin">
          <color rgb="FF93C47D"/>
        </bottom>
      </border>
    </dxf>
  </dxfs>
  <tableStyles count="3">
    <tableStyle count="4" pivot="0" name="Season Sta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am Sta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yoff Sta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K72" displayName="Season_Stats" name="Season_Stats" id="1">
  <autoFilter ref="$B$2:$K$72"/>
  <tableColumns count="10">
    <tableColumn name="Shooter" id="1"/>
    <tableColumn name="Shooting" id="2"/>
    <tableColumn name="Cups Made" id="3"/>
    <tableColumn name="Cups Missed" id="4"/>
    <tableColumn name="Splash-Out" id="5"/>
    <tableColumn name="Guy" id="6"/>
    <tableColumn name="Tri" id="7"/>
    <tableColumn name="Di" id="8"/>
    <tableColumn name="Un" id="9"/>
    <tableColumn name="Vom" id="10"/>
  </tableColumns>
  <tableStyleInfo name="Season Stats-style" showColumnStripes="0" showFirstColumn="1" showLastColumn="1" showRowStripes="1"/>
</table>
</file>

<file path=xl/tables/table2.xml><?xml version="1.0" encoding="utf-8"?>
<table xmlns="http://schemas.openxmlformats.org/spreadsheetml/2006/main" ref="B2:K35" displayName="Team_Stats" name="Team_Stats" id="2">
  <autoFilter ref="$B$2:$K$35"/>
  <tableColumns count="10">
    <tableColumn name="Team" id="1"/>
    <tableColumn name="Shooting" id="2"/>
    <tableColumn name="Cups Made" id="3"/>
    <tableColumn name="Cups Missed" id="4"/>
    <tableColumn name="Splash-Out" id="5"/>
    <tableColumn name="Guy" id="6"/>
    <tableColumn name="Tri" id="7"/>
    <tableColumn name="Di" id="8"/>
    <tableColumn name="Un" id="9"/>
    <tableColumn name="Vom" id="10"/>
  </tableColumns>
  <tableStyleInfo name="Team Stats-style" showColumnStripes="0" showFirstColumn="1" showLastColumn="1" showRowStripes="1"/>
</table>
</file>

<file path=xl/tables/table3.xml><?xml version="1.0" encoding="utf-8"?>
<table xmlns="http://schemas.openxmlformats.org/spreadsheetml/2006/main" ref="B2:K34" displayName="Team_Stats_2" name="Team_Stats_2" id="3">
  <autoFilter ref="$B$2:$K$34"/>
  <tableColumns count="10">
    <tableColumn name="Shooter" id="1"/>
    <tableColumn name="Shooting" id="2"/>
    <tableColumn name="Cups Made" id="3"/>
    <tableColumn name="Cups Missed" id="4"/>
    <tableColumn name="Splash-Out" id="5"/>
    <tableColumn name="Guy" id="6"/>
    <tableColumn name="Tri" id="7"/>
    <tableColumn name="Di" id="8"/>
    <tableColumn name="Un" id="9"/>
    <tableColumn name="Vom" id="10"/>
  </tableColumns>
  <tableStyleInfo name="Playoff Sta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10.13"/>
    <col customWidth="1" min="3" max="3" width="15.13"/>
    <col customWidth="1" min="7" max="7" width="2.88"/>
    <col customWidth="1" min="8" max="8" width="10.13"/>
    <col customWidth="1" min="9" max="9" width="15.13"/>
    <col customWidth="1" min="13" max="13" width="2.7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/>
      <c r="H2" s="5" t="s">
        <v>0</v>
      </c>
      <c r="I2" s="5" t="s">
        <v>5</v>
      </c>
      <c r="J2" s="5" t="s">
        <v>2</v>
      </c>
      <c r="K2" s="5" t="s">
        <v>3</v>
      </c>
      <c r="L2" s="5" t="s">
        <v>4</v>
      </c>
      <c r="M2" s="7"/>
    </row>
    <row r="3">
      <c r="A3" s="8"/>
      <c r="B3" s="9">
        <v>1.0</v>
      </c>
      <c r="C3" s="10" t="s">
        <v>6</v>
      </c>
      <c r="D3" s="11" t="s">
        <v>7</v>
      </c>
      <c r="E3" s="12" t="s">
        <v>8</v>
      </c>
      <c r="F3" s="13">
        <f t="array" ref="F3">xlookup("Anson/Pierre",'Team Stats'!B:B,'Team Stats'!C:C)</f>
        <v>0.2849462366</v>
      </c>
      <c r="G3" s="6"/>
      <c r="H3" s="9">
        <v>1.0</v>
      </c>
      <c r="I3" s="9" t="s">
        <v>9</v>
      </c>
      <c r="J3" s="11" t="s">
        <v>10</v>
      </c>
      <c r="K3" s="12" t="s">
        <v>11</v>
      </c>
      <c r="L3" s="13">
        <f t="array" ref="L3">xlookup("Alejandro/Bonn",'Team Stats'!B:B,'Team Stats'!C:C)</f>
        <v>0.224137931</v>
      </c>
      <c r="M3" s="7"/>
    </row>
    <row r="4">
      <c r="A4" s="8"/>
      <c r="B4" s="9">
        <v>2.0</v>
      </c>
      <c r="C4" s="9" t="s">
        <v>12</v>
      </c>
      <c r="D4" s="11" t="s">
        <v>10</v>
      </c>
      <c r="E4" s="12" t="s">
        <v>11</v>
      </c>
      <c r="F4" s="13">
        <f t="array" ref="F4">xlookup("Giacomo/Skatz",'Team Stats'!B:B,'Team Stats'!C:C)</f>
        <v>0.2052980132</v>
      </c>
      <c r="G4" s="6"/>
      <c r="H4" s="9">
        <v>2.0</v>
      </c>
      <c r="I4" s="9" t="s">
        <v>13</v>
      </c>
      <c r="J4" s="11" t="s">
        <v>10</v>
      </c>
      <c r="K4" s="12" t="s">
        <v>14</v>
      </c>
      <c r="L4" s="13">
        <f t="array" ref="L4">xlookup("Curtis/Ronilo",'Team Stats'!B:B,'Team Stats'!C:C)</f>
        <v>0.1652892562</v>
      </c>
      <c r="M4" s="7"/>
    </row>
    <row r="5">
      <c r="A5" s="8"/>
      <c r="B5" s="9">
        <v>3.0</v>
      </c>
      <c r="C5" s="10" t="s">
        <v>15</v>
      </c>
      <c r="D5" s="11" t="s">
        <v>16</v>
      </c>
      <c r="E5" s="12" t="s">
        <v>17</v>
      </c>
      <c r="F5" s="13">
        <f t="array" ref="F5">xlookup("Toban/Homo",'Team Stats'!B:B,'Team Stats'!C:C)</f>
        <v>0.2307692308</v>
      </c>
      <c r="G5" s="6"/>
      <c r="H5" s="9">
        <v>3.0</v>
      </c>
      <c r="I5" s="10" t="s">
        <v>18</v>
      </c>
      <c r="J5" s="11" t="s">
        <v>16</v>
      </c>
      <c r="K5" s="12" t="s">
        <v>19</v>
      </c>
      <c r="L5" s="13">
        <f t="array" ref="L5">xlookup("Bash/Grant Mullen",'Team Stats'!B:B,'Team Stats'!C:C)</f>
        <v>0.17</v>
      </c>
      <c r="M5" s="7"/>
    </row>
    <row r="6">
      <c r="A6" s="8"/>
      <c r="B6" s="9">
        <v>4.0</v>
      </c>
      <c r="C6" s="9" t="s">
        <v>20</v>
      </c>
      <c r="D6" s="11" t="s">
        <v>21</v>
      </c>
      <c r="E6" s="12" t="s">
        <v>22</v>
      </c>
      <c r="F6" s="13">
        <f t="array" ref="F6">xlookup("Arturo/Griss",'Team Stats'!B:B,'Team Stats'!C:C)</f>
        <v>0.2166666667</v>
      </c>
      <c r="G6" s="6"/>
      <c r="H6" s="9">
        <v>4.0</v>
      </c>
      <c r="I6" s="10" t="s">
        <v>23</v>
      </c>
      <c r="J6" s="11" t="s">
        <v>16</v>
      </c>
      <c r="K6" s="12" t="s">
        <v>19</v>
      </c>
      <c r="L6" s="13">
        <f t="array" ref="L6">xlookup("JP/Ford",'Team Stats'!B:B,'Team Stats'!C:C)</f>
        <v>0.246835443</v>
      </c>
      <c r="M6" s="7"/>
    </row>
    <row r="7">
      <c r="A7" s="14"/>
      <c r="B7" s="2"/>
      <c r="C7" s="15"/>
      <c r="D7" s="16"/>
      <c r="E7" s="16"/>
      <c r="F7" s="17"/>
      <c r="G7" s="6"/>
      <c r="H7" s="2"/>
      <c r="I7" s="15"/>
      <c r="J7" s="16"/>
      <c r="K7" s="16"/>
      <c r="L7" s="17"/>
      <c r="M7" s="7"/>
    </row>
    <row r="8">
      <c r="A8" s="14"/>
      <c r="B8" s="18"/>
      <c r="C8" s="5" t="s">
        <v>24</v>
      </c>
      <c r="D8" s="16"/>
      <c r="E8" s="16"/>
      <c r="F8" s="17"/>
      <c r="G8" s="6"/>
      <c r="H8" s="18"/>
      <c r="I8" s="5" t="s">
        <v>25</v>
      </c>
      <c r="J8" s="16"/>
      <c r="K8" s="16"/>
      <c r="L8" s="17"/>
      <c r="M8" s="7"/>
    </row>
    <row r="9">
      <c r="A9" s="8"/>
      <c r="B9" s="9">
        <v>1.0</v>
      </c>
      <c r="C9" s="10" t="s">
        <v>26</v>
      </c>
      <c r="D9" s="11" t="s">
        <v>16</v>
      </c>
      <c r="E9" s="12" t="s">
        <v>27</v>
      </c>
      <c r="F9" s="13">
        <f t="array" ref="F9">xlookup("Camden/Hamoui",'Team Stats'!B:B,'Team Stats'!C:C)</f>
        <v>0.1772151899</v>
      </c>
      <c r="G9" s="6"/>
      <c r="H9" s="9">
        <v>1.0</v>
      </c>
      <c r="I9" s="10" t="s">
        <v>28</v>
      </c>
      <c r="J9" s="11" t="s">
        <v>16</v>
      </c>
      <c r="K9" s="12" t="s">
        <v>27</v>
      </c>
      <c r="L9" s="13">
        <f t="array" ref="L9">xlookup("Naman/Liam",'Team Stats'!B:B,'Team Stats'!C:C)</f>
        <v>0.2450331126</v>
      </c>
      <c r="M9" s="7"/>
    </row>
    <row r="10">
      <c r="A10" s="8"/>
      <c r="B10" s="9">
        <v>2.0</v>
      </c>
      <c r="C10" s="10" t="s">
        <v>29</v>
      </c>
      <c r="D10" s="11" t="s">
        <v>7</v>
      </c>
      <c r="E10" s="12" t="s">
        <v>30</v>
      </c>
      <c r="F10" s="13">
        <f t="array" ref="F10">xlookup("Wigs/Boggs",'Team Stats'!B:B,'Team Stats'!C:C)</f>
        <v>0.2772277228</v>
      </c>
      <c r="G10" s="6"/>
      <c r="H10" s="9">
        <v>2.0</v>
      </c>
      <c r="I10" s="9" t="s">
        <v>31</v>
      </c>
      <c r="J10" s="11" t="s">
        <v>10</v>
      </c>
      <c r="K10" s="12" t="s">
        <v>11</v>
      </c>
      <c r="L10" s="13">
        <f t="array" ref="L10">xlookup("Isaiah/Mike Miller",'Team Stats'!B:B,'Team Stats'!C:C)</f>
        <v>0.2236842105</v>
      </c>
      <c r="M10" s="7"/>
    </row>
    <row r="11">
      <c r="A11" s="8"/>
      <c r="B11" s="9">
        <v>3.0</v>
      </c>
      <c r="C11" s="9" t="s">
        <v>32</v>
      </c>
      <c r="D11" s="11" t="s">
        <v>21</v>
      </c>
      <c r="E11" s="12" t="s">
        <v>14</v>
      </c>
      <c r="F11" s="13">
        <f t="array" ref="F11">xlookup("Bello/Keith",'Team Stats'!B:B,'Team Stats'!C:C)</f>
        <v>0.2222222222</v>
      </c>
      <c r="G11" s="6"/>
      <c r="H11" s="9">
        <v>3.0</v>
      </c>
      <c r="I11" s="9" t="s">
        <v>33</v>
      </c>
      <c r="J11" s="11" t="s">
        <v>21</v>
      </c>
      <c r="K11" s="12" t="s">
        <v>14</v>
      </c>
      <c r="L11" s="13">
        <f t="array" ref="L11">xlookup("Digs/Manndrew",'Team Stats'!B:B,'Team Stats'!C:C)</f>
        <v>0.2068965517</v>
      </c>
      <c r="M11" s="7"/>
    </row>
    <row r="12">
      <c r="A12" s="8"/>
      <c r="B12" s="9">
        <v>4.0</v>
      </c>
      <c r="C12" s="9" t="s">
        <v>34</v>
      </c>
      <c r="D12" s="11" t="s">
        <v>10</v>
      </c>
      <c r="E12" s="12" t="s">
        <v>11</v>
      </c>
      <c r="F12" s="13">
        <f t="array" ref="F12">xlookup("Cestero/Messina",'Team Stats'!B:B,'Team Stats'!C:C)</f>
        <v>0.2621359223</v>
      </c>
      <c r="G12" s="6"/>
      <c r="H12" s="9">
        <v>4.0</v>
      </c>
      <c r="I12" s="10" t="s">
        <v>35</v>
      </c>
      <c r="J12" s="11" t="s">
        <v>7</v>
      </c>
      <c r="K12" s="12" t="s">
        <v>30</v>
      </c>
      <c r="L12" s="13">
        <f t="array" ref="L12">xlookup("Reed/Pranav",'Team Stats'!B:B,'Team Stats'!C:C)</f>
        <v>0.1813953488</v>
      </c>
      <c r="M12" s="7"/>
    </row>
    <row r="13">
      <c r="A13" s="14"/>
      <c r="B13" s="2"/>
      <c r="C13" s="15"/>
      <c r="D13" s="16"/>
      <c r="E13" s="16"/>
      <c r="F13" s="17"/>
      <c r="G13" s="6"/>
      <c r="H13" s="2"/>
      <c r="I13" s="15"/>
      <c r="J13" s="16"/>
      <c r="K13" s="16"/>
      <c r="L13" s="17"/>
      <c r="M13" s="7"/>
    </row>
    <row r="14">
      <c r="A14" s="14"/>
      <c r="B14" s="18"/>
      <c r="C14" s="5" t="s">
        <v>36</v>
      </c>
      <c r="D14" s="16"/>
      <c r="E14" s="16"/>
      <c r="F14" s="17"/>
      <c r="G14" s="6"/>
      <c r="H14" s="18"/>
      <c r="I14" s="5" t="s">
        <v>37</v>
      </c>
      <c r="J14" s="16"/>
      <c r="K14" s="16"/>
      <c r="L14" s="17"/>
      <c r="M14" s="7"/>
    </row>
    <row r="15">
      <c r="A15" s="8"/>
      <c r="B15" s="9">
        <v>1.0</v>
      </c>
      <c r="C15" s="10" t="s">
        <v>38</v>
      </c>
      <c r="D15" s="11" t="s">
        <v>7</v>
      </c>
      <c r="E15" s="12" t="s">
        <v>8</v>
      </c>
      <c r="F15" s="13">
        <f t="array" ref="F15">xlookup("Everett/Hulu",'Team Stats'!B:B,'Team Stats'!C:C)</f>
        <v>0.2027027027</v>
      </c>
      <c r="G15" s="6"/>
      <c r="H15" s="9">
        <v>1.0</v>
      </c>
      <c r="I15" s="9" t="s">
        <v>39</v>
      </c>
      <c r="J15" s="11" t="s">
        <v>10</v>
      </c>
      <c r="K15" s="12" t="s">
        <v>22</v>
      </c>
      <c r="L15" s="13">
        <f t="array" ref="L15">xlookup("Kavishka/Akash",'Team Stats'!B:B,'Team Stats'!C:C)</f>
        <v>0.24</v>
      </c>
      <c r="M15" s="7"/>
    </row>
    <row r="16">
      <c r="A16" s="8"/>
      <c r="B16" s="9">
        <v>2.0</v>
      </c>
      <c r="C16" s="10" t="s">
        <v>40</v>
      </c>
      <c r="D16" s="11" t="s">
        <v>16</v>
      </c>
      <c r="E16" s="12" t="s">
        <v>19</v>
      </c>
      <c r="F16" s="13">
        <f t="array" ref="F16">xlookup("Blume/Raza",'Team Stats'!B:B,'Team Stats'!C:C)</f>
        <v>0.3333333333</v>
      </c>
      <c r="G16" s="6"/>
      <c r="H16" s="9">
        <v>2.0</v>
      </c>
      <c r="I16" s="10" t="s">
        <v>41</v>
      </c>
      <c r="J16" s="11" t="s">
        <v>16</v>
      </c>
      <c r="K16" s="12" t="s">
        <v>30</v>
      </c>
      <c r="L16" s="13">
        <f t="array" ref="L16">xlookup("Brock/Vinny",'Team Stats'!B:B,'Team Stats'!C:C)</f>
        <v>0.2651515152</v>
      </c>
      <c r="M16" s="7"/>
    </row>
    <row r="17">
      <c r="A17" s="8"/>
      <c r="B17" s="9">
        <v>3.0</v>
      </c>
      <c r="C17" s="9" t="s">
        <v>42</v>
      </c>
      <c r="D17" s="11" t="s">
        <v>10</v>
      </c>
      <c r="E17" s="12" t="s">
        <v>43</v>
      </c>
      <c r="F17" s="13">
        <f t="array" ref="F17">xlookup("Plump/Voelkbeezy",'Team Stats'!B:B,'Team Stats'!C:C)</f>
        <v>0.2</v>
      </c>
      <c r="G17" s="6"/>
      <c r="H17" s="9">
        <v>3.0</v>
      </c>
      <c r="I17" s="10" t="s">
        <v>44</v>
      </c>
      <c r="J17" s="11" t="s">
        <v>16</v>
      </c>
      <c r="K17" s="12" t="s">
        <v>27</v>
      </c>
      <c r="L17" s="13">
        <f t="array" ref="L17">xlookup("Mati/Takoa",'Team Stats'!B:B,'Team Stats'!C:C)</f>
        <v>0.262295082</v>
      </c>
      <c r="M17" s="7"/>
    </row>
    <row r="18">
      <c r="A18" s="8"/>
      <c r="B18" s="9">
        <v>4.0</v>
      </c>
      <c r="C18" s="9" t="s">
        <v>45</v>
      </c>
      <c r="D18" s="11" t="s">
        <v>21</v>
      </c>
      <c r="E18" s="12" t="s">
        <v>46</v>
      </c>
      <c r="F18" s="13">
        <f t="array" ref="F18">xlookup("PJ/Chris Connors",'Team Stats'!B:B,'Team Stats'!C:C)</f>
        <v>0.1690140845</v>
      </c>
      <c r="G18" s="6"/>
      <c r="H18" s="9">
        <v>4.0</v>
      </c>
      <c r="I18" s="9" t="s">
        <v>47</v>
      </c>
      <c r="J18" s="11" t="s">
        <v>10</v>
      </c>
      <c r="K18" s="12" t="s">
        <v>43</v>
      </c>
      <c r="L18" s="13">
        <f t="array" ref="L18">xlookup("Albright/Wilder",'Team Stats'!B:B,'Team Stats'!C:C)</f>
        <v>0.2363636364</v>
      </c>
      <c r="M18" s="7"/>
    </row>
    <row r="19">
      <c r="A19" s="14"/>
      <c r="B19" s="2"/>
      <c r="C19" s="15"/>
      <c r="D19" s="16"/>
      <c r="E19" s="16"/>
      <c r="F19" s="17"/>
      <c r="G19" s="6"/>
      <c r="H19" s="2"/>
      <c r="I19" s="15"/>
      <c r="J19" s="16"/>
      <c r="K19" s="16"/>
      <c r="L19" s="17"/>
      <c r="M19" s="7"/>
    </row>
    <row r="20">
      <c r="A20" s="14"/>
      <c r="B20" s="18"/>
      <c r="C20" s="5" t="s">
        <v>48</v>
      </c>
      <c r="D20" s="16"/>
      <c r="E20" s="16"/>
      <c r="F20" s="17"/>
      <c r="G20" s="6"/>
      <c r="H20" s="18"/>
      <c r="I20" s="5" t="s">
        <v>49</v>
      </c>
      <c r="J20" s="16"/>
      <c r="K20" s="16"/>
      <c r="L20" s="17"/>
      <c r="M20" s="7"/>
    </row>
    <row r="21">
      <c r="A21" s="8"/>
      <c r="B21" s="9">
        <v>1.0</v>
      </c>
      <c r="C21" s="10" t="s">
        <v>50</v>
      </c>
      <c r="D21" s="11" t="s">
        <v>16</v>
      </c>
      <c r="E21" s="12" t="s">
        <v>51</v>
      </c>
      <c r="F21" s="13">
        <f t="array" ref="F21">xlookup("Charlie/Sarchio",'Team Stats'!B:B,'Team Stats'!C:C)</f>
        <v>0.3363636364</v>
      </c>
      <c r="G21" s="6"/>
      <c r="H21" s="9">
        <v>1.0</v>
      </c>
      <c r="I21" s="9" t="s">
        <v>52</v>
      </c>
      <c r="J21" s="11" t="s">
        <v>10</v>
      </c>
      <c r="K21" s="12" t="s">
        <v>53</v>
      </c>
      <c r="L21" s="13">
        <f t="array" ref="L21">xlookup("Schreder/Dylan and Matian",'Team Stats'!B:B,'Team Stats'!C:C)</f>
        <v>0.2872340426</v>
      </c>
      <c r="M21" s="7"/>
    </row>
    <row r="22">
      <c r="A22" s="8"/>
      <c r="B22" s="9">
        <v>2.0</v>
      </c>
      <c r="C22" s="10" t="s">
        <v>54</v>
      </c>
      <c r="D22" s="11" t="s">
        <v>7</v>
      </c>
      <c r="E22" s="12" t="s">
        <v>51</v>
      </c>
      <c r="F22" s="13">
        <f t="array" ref="F22">xlookup("Brando/Heath",'Team Stats'!B:B,'Team Stats'!C:C)</f>
        <v>0.3285714286</v>
      </c>
      <c r="G22" s="6"/>
      <c r="H22" s="9">
        <v>2.0</v>
      </c>
      <c r="I22" s="10" t="s">
        <v>55</v>
      </c>
      <c r="J22" s="11" t="s">
        <v>16</v>
      </c>
      <c r="K22" s="12" t="s">
        <v>56</v>
      </c>
      <c r="L22" s="13">
        <f t="array" ref="L22">xlookup("Creamer/Hudson",'Team Stats'!B:B,'Team Stats'!C:C)</f>
        <v>0.2875</v>
      </c>
      <c r="M22" s="7"/>
    </row>
    <row r="23">
      <c r="A23" s="8"/>
      <c r="B23" s="9">
        <v>3.0</v>
      </c>
      <c r="C23" s="9" t="s">
        <v>57</v>
      </c>
      <c r="D23" s="11" t="s">
        <v>21</v>
      </c>
      <c r="E23" s="12" t="s">
        <v>58</v>
      </c>
      <c r="F23" s="13">
        <f t="array" ref="F23">xlookup("Creditor/King",'Team Stats'!B:B,'Team Stats'!C:C)</f>
        <v>0.3134328358</v>
      </c>
      <c r="G23" s="6"/>
      <c r="H23" s="9">
        <v>3.0</v>
      </c>
      <c r="I23" s="10" t="s">
        <v>59</v>
      </c>
      <c r="J23" s="11" t="s">
        <v>16</v>
      </c>
      <c r="K23" s="12" t="s">
        <v>11</v>
      </c>
      <c r="L23" s="13">
        <f t="array" ref="L23">xlookup("Emilio/Tolsma",'Team Stats'!B:B,'Team Stats'!C:C)</f>
        <v>0.2380952381</v>
      </c>
      <c r="M23" s="7"/>
    </row>
    <row r="24">
      <c r="A24" s="8"/>
      <c r="B24" s="9">
        <v>4.0</v>
      </c>
      <c r="C24" s="9" t="s">
        <v>60</v>
      </c>
      <c r="D24" s="11" t="s">
        <v>10</v>
      </c>
      <c r="E24" s="12" t="s">
        <v>61</v>
      </c>
      <c r="F24" s="13">
        <f t="array" ref="F24">xlookup("Shawnak/Mackie",'Team Stats'!B:B,'Team Stats'!C:C)</f>
        <v>0.2903225806</v>
      </c>
      <c r="G24" s="6"/>
      <c r="H24" s="9">
        <v>4.0</v>
      </c>
      <c r="I24" s="9" t="s">
        <v>62</v>
      </c>
      <c r="J24" s="11" t="s">
        <v>10</v>
      </c>
      <c r="K24" s="12" t="s">
        <v>17</v>
      </c>
      <c r="L24" s="13">
        <f t="array" ref="L24">xlookup("The Kid/Baby Glizz",'Team Stats'!B:B,'Team Stats'!C:C)</f>
        <v>0.2272727273</v>
      </c>
      <c r="M24" s="7"/>
    </row>
    <row r="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.5"/>
    <col customWidth="1" min="2" max="2" width="23.5"/>
    <col customWidth="1" min="3" max="3" width="17.13"/>
    <col customWidth="1" min="4" max="6" width="14.5"/>
    <col customWidth="1" min="7" max="11" width="10.13"/>
    <col customWidth="1" min="12" max="12" width="2.88"/>
    <col customWidth="1" min="13" max="26" width="12.63"/>
  </cols>
  <sheetData>
    <row r="1" ht="16.5" customHeight="1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20.25" customHeight="1">
      <c r="A2" s="25"/>
      <c r="B2" s="26" t="s">
        <v>63</v>
      </c>
      <c r="C2" s="26" t="s">
        <v>64</v>
      </c>
      <c r="D2" s="26" t="s">
        <v>65</v>
      </c>
      <c r="E2" s="26" t="s">
        <v>66</v>
      </c>
      <c r="F2" s="26" t="s">
        <v>67</v>
      </c>
      <c r="G2" s="26" t="s">
        <v>68</v>
      </c>
      <c r="H2" s="26" t="s">
        <v>69</v>
      </c>
      <c r="I2" s="26" t="s">
        <v>70</v>
      </c>
      <c r="J2" s="26" t="s">
        <v>71</v>
      </c>
      <c r="K2" s="26" t="s">
        <v>72</v>
      </c>
      <c r="L2" s="27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22.5" customHeight="1">
      <c r="A3" s="28"/>
      <c r="B3" s="29" t="s">
        <v>73</v>
      </c>
      <c r="C3" s="30">
        <f t="shared" ref="C3:C67" si="1">IFERROR((D3/(D3+E3)),0)</f>
        <v>0.4358974359</v>
      </c>
      <c r="D3" s="31">
        <f>SUMIFS(AllData!D:D, AllData!B:B, B3)</f>
        <v>17</v>
      </c>
      <c r="E3" s="31">
        <f>SUMIFS(AllData!C:C, AllData!B:B, B3)</f>
        <v>22</v>
      </c>
      <c r="F3" s="31">
        <f>SUMIFS(AllData!E:E, AllData!B:B, B3)</f>
        <v>1</v>
      </c>
      <c r="G3" s="31">
        <f>SUMIFS(AllData!F:F, AllData!B:B, B3)</f>
        <v>2</v>
      </c>
      <c r="H3" s="31">
        <f>SUMIFS(AllData!G:G, AllData!B:B, B3)</f>
        <v>1</v>
      </c>
      <c r="I3" s="31">
        <f>SUMIFS(AllData!H:H, AllData!B:B, B3)</f>
        <v>0</v>
      </c>
      <c r="J3" s="29">
        <v>0.0</v>
      </c>
      <c r="K3" s="31">
        <f>SUMIFS(AllData!I:I, AllData!B:B, B3)</f>
        <v>0</v>
      </c>
      <c r="L3" s="27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22.5" customHeight="1">
      <c r="A4" s="25"/>
      <c r="B4" s="29" t="s">
        <v>74</v>
      </c>
      <c r="C4" s="30">
        <f t="shared" si="1"/>
        <v>0.4074074074</v>
      </c>
      <c r="D4" s="31">
        <f>SUMIFS(AllData!D:D, AllData!B:B, B4)</f>
        <v>22</v>
      </c>
      <c r="E4" s="31">
        <f>SUMIFS(AllData!C:C, AllData!B:B, B4)</f>
        <v>32</v>
      </c>
      <c r="F4" s="31">
        <f>SUMIFS(AllData!E:E, AllData!B:B, B4)</f>
        <v>2</v>
      </c>
      <c r="G4" s="31">
        <f>SUMIFS(AllData!F:F, AllData!B:B, B4)</f>
        <v>1</v>
      </c>
      <c r="H4" s="31">
        <f>SUMIFS(AllData!G:G, AllData!B:B, B4)</f>
        <v>0</v>
      </c>
      <c r="I4" s="31">
        <f>SUMIFS(AllData!H:H, AllData!B:B, B4)</f>
        <v>0</v>
      </c>
      <c r="J4" s="29">
        <v>0.0</v>
      </c>
      <c r="K4" s="31">
        <f>SUMIFS(AllData!I:I, AllData!B:B, B4)</f>
        <v>0</v>
      </c>
      <c r="L4" s="27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22.5" customHeight="1">
      <c r="A5" s="25"/>
      <c r="B5" s="29" t="s">
        <v>75</v>
      </c>
      <c r="C5" s="30">
        <f t="shared" si="1"/>
        <v>0.3684210526</v>
      </c>
      <c r="D5" s="31">
        <f>SUMIFS(AllData!D:D, AllData!B:B, B5)</f>
        <v>7</v>
      </c>
      <c r="E5" s="31">
        <f>SUMIFS(AllData!C:C, AllData!B:B, B5)</f>
        <v>12</v>
      </c>
      <c r="F5" s="31">
        <f>SUMIFS(AllData!E:E, AllData!B:B, B5)</f>
        <v>1</v>
      </c>
      <c r="G5" s="31">
        <f>SUMIFS(AllData!F:F, AllData!B:B, B5)</f>
        <v>2</v>
      </c>
      <c r="H5" s="31">
        <f>SUMIFS(AllData!G:G, AllData!B:B, B5)</f>
        <v>0</v>
      </c>
      <c r="I5" s="31">
        <f>SUMIFS(AllData!H:H, AllData!B:B, B5)</f>
        <v>0</v>
      </c>
      <c r="J5" s="29">
        <v>0.0</v>
      </c>
      <c r="K5" s="31">
        <f>SUMIFS(AllData!I:I, AllData!B:B, B5)</f>
        <v>0</v>
      </c>
      <c r="L5" s="27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22.5" customHeight="1">
      <c r="A6" s="25"/>
      <c r="B6" s="29" t="s">
        <v>76</v>
      </c>
      <c r="C6" s="30">
        <f t="shared" si="1"/>
        <v>0.3571428571</v>
      </c>
      <c r="D6" s="31">
        <f>SUMIFS(AllData!D:D, AllData!B:B, B6)</f>
        <v>25</v>
      </c>
      <c r="E6" s="31">
        <f>SUMIFS(AllData!C:C, AllData!B:B, B6)</f>
        <v>45</v>
      </c>
      <c r="F6" s="31">
        <f>SUMIFS(AllData!E:E, AllData!B:B, B6)</f>
        <v>3</v>
      </c>
      <c r="G6" s="31">
        <f>SUMIFS(AllData!F:F, AllData!B:B, B6)</f>
        <v>4</v>
      </c>
      <c r="H6" s="31">
        <f>SUMIFS(AllData!G:G, AllData!B:B, B6)</f>
        <v>1</v>
      </c>
      <c r="I6" s="31">
        <f>SUMIFS(AllData!H:H, AllData!B:B, B6)</f>
        <v>0</v>
      </c>
      <c r="J6" s="29">
        <v>0.0</v>
      </c>
      <c r="K6" s="31">
        <f>SUMIFS(AllData!I:I, AllData!B:B, B6)</f>
        <v>0</v>
      </c>
      <c r="L6" s="27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22.5" customHeight="1">
      <c r="A7" s="25"/>
      <c r="B7" s="29" t="s">
        <v>77</v>
      </c>
      <c r="C7" s="30">
        <f t="shared" si="1"/>
        <v>0.3333333333</v>
      </c>
      <c r="D7" s="31">
        <f>SUMIFS(AllData!D:D, AllData!B:B, B7)</f>
        <v>15</v>
      </c>
      <c r="E7" s="31">
        <f>SUMIFS(AllData!C:C, AllData!B:B, B7)</f>
        <v>30</v>
      </c>
      <c r="F7" s="31">
        <f>SUMIFS(AllData!E:E, AllData!B:B, B7)</f>
        <v>2</v>
      </c>
      <c r="G7" s="31">
        <f>SUMIFS(AllData!F:F, AllData!B:B, B7)</f>
        <v>3</v>
      </c>
      <c r="H7" s="31">
        <f>SUMIFS(AllData!G:G, AllData!B:B, B7)</f>
        <v>0</v>
      </c>
      <c r="I7" s="31">
        <f>SUMIFS(AllData!H:H, AllData!B:B, B7)</f>
        <v>0</v>
      </c>
      <c r="J7" s="29">
        <v>0.0</v>
      </c>
      <c r="K7" s="31">
        <f>SUMIFS(AllData!I:I, AllData!B:B, B7)</f>
        <v>1</v>
      </c>
      <c r="L7" s="27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22.5" customHeight="1">
      <c r="A8" s="25"/>
      <c r="B8" s="29" t="s">
        <v>78</v>
      </c>
      <c r="C8" s="30">
        <f t="shared" si="1"/>
        <v>0.3333333333</v>
      </c>
      <c r="D8" s="31">
        <f>SUMIFS(AllData!D:D, AllData!B:B, B8)</f>
        <v>12</v>
      </c>
      <c r="E8" s="31">
        <f>SUMIFS(AllData!C:C, AllData!B:B, B8)</f>
        <v>24</v>
      </c>
      <c r="F8" s="31">
        <f>SUMIFS(AllData!E:E, AllData!B:B, B8)</f>
        <v>2</v>
      </c>
      <c r="G8" s="31">
        <f>SUMIFS(AllData!F:F, AllData!B:B, B8)</f>
        <v>0</v>
      </c>
      <c r="H8" s="31">
        <f>SUMIFS(AllData!G:G, AllData!B:B, B8)</f>
        <v>0</v>
      </c>
      <c r="I8" s="31">
        <f>SUMIFS(AllData!H:H, AllData!B:B, B8)</f>
        <v>0</v>
      </c>
      <c r="J8" s="29">
        <v>0.0</v>
      </c>
      <c r="K8" s="31">
        <f>SUMIFS(AllData!I:I, AllData!B:B, B8)</f>
        <v>0</v>
      </c>
      <c r="L8" s="27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22.5" customHeight="1">
      <c r="A9" s="25"/>
      <c r="B9" s="29" t="s">
        <v>79</v>
      </c>
      <c r="C9" s="30">
        <f t="shared" si="1"/>
        <v>0.3272727273</v>
      </c>
      <c r="D9" s="31">
        <f>SUMIFS(AllData!D:D, AllData!B:B, B9)</f>
        <v>18</v>
      </c>
      <c r="E9" s="31">
        <f>SUMIFS(AllData!C:C, AllData!B:B, B9)</f>
        <v>37</v>
      </c>
      <c r="F9" s="31">
        <f>SUMIFS(AllData!E:E, AllData!B:B, B9)</f>
        <v>5</v>
      </c>
      <c r="G9" s="31">
        <f>SUMIFS(AllData!F:F, AllData!B:B, B9)</f>
        <v>0</v>
      </c>
      <c r="H9" s="31">
        <f>SUMIFS(AllData!G:G, AllData!B:B, B9)</f>
        <v>0</v>
      </c>
      <c r="I9" s="31">
        <f>SUMIFS(AllData!H:H, AllData!B:B, B9)</f>
        <v>0</v>
      </c>
      <c r="J9" s="29">
        <v>0.0</v>
      </c>
      <c r="K9" s="31">
        <f>SUMIFS(AllData!I:I, AllData!B:B, B9)</f>
        <v>0</v>
      </c>
      <c r="L9" s="27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22.5" customHeight="1">
      <c r="A10" s="25"/>
      <c r="B10" s="29" t="s">
        <v>80</v>
      </c>
      <c r="C10" s="30">
        <f t="shared" si="1"/>
        <v>0.3225806452</v>
      </c>
      <c r="D10" s="31">
        <f>SUMIFS(AllData!D:D, AllData!B:B, B10)</f>
        <v>10</v>
      </c>
      <c r="E10" s="31">
        <f>SUMIFS(AllData!C:C, AllData!B:B, B10)</f>
        <v>21</v>
      </c>
      <c r="F10" s="31">
        <f>SUMIFS(AllData!E:E, AllData!B:B, B10)</f>
        <v>0</v>
      </c>
      <c r="G10" s="31">
        <f>SUMIFS(AllData!F:F, AllData!B:B, B10)</f>
        <v>1</v>
      </c>
      <c r="H10" s="31">
        <f>SUMIFS(AllData!G:G, AllData!B:B, B10)</f>
        <v>0</v>
      </c>
      <c r="I10" s="31">
        <f>SUMIFS(AllData!H:H, AllData!B:B, B10)</f>
        <v>0</v>
      </c>
      <c r="J10" s="29">
        <v>0.0</v>
      </c>
      <c r="K10" s="31">
        <f>SUMIFS(AllData!I:I, AllData!B:B, B10)</f>
        <v>0</v>
      </c>
      <c r="L10" s="27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22.5" customHeight="1">
      <c r="A11" s="25"/>
      <c r="B11" s="29" t="s">
        <v>81</v>
      </c>
      <c r="C11" s="30">
        <f t="shared" si="1"/>
        <v>0.3209876543</v>
      </c>
      <c r="D11" s="31">
        <f>SUMIFS(AllData!D:D, AllData!B:B, B11)</f>
        <v>26</v>
      </c>
      <c r="E11" s="31">
        <f>SUMIFS(AllData!C:C, AllData!B:B, B11)</f>
        <v>55</v>
      </c>
      <c r="F11" s="31">
        <f>SUMIFS(AllData!E:E, AllData!B:B, B11)</f>
        <v>1</v>
      </c>
      <c r="G11" s="31">
        <f>SUMIFS(AllData!F:F, AllData!B:B, B11)</f>
        <v>7</v>
      </c>
      <c r="H11" s="31">
        <f>SUMIFS(AllData!G:G, AllData!B:B, B11)</f>
        <v>1</v>
      </c>
      <c r="I11" s="31">
        <f>SUMIFS(AllData!H:H, AllData!B:B, B11)</f>
        <v>0</v>
      </c>
      <c r="J11" s="29">
        <v>0.0</v>
      </c>
      <c r="K11" s="31">
        <f>SUMIFS(AllData!I:I, AllData!B:B, B11)</f>
        <v>0</v>
      </c>
      <c r="L11" s="27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22.5" customHeight="1">
      <c r="A12" s="25"/>
      <c r="B12" s="29" t="s">
        <v>82</v>
      </c>
      <c r="C12" s="30">
        <f t="shared" si="1"/>
        <v>0.3191489362</v>
      </c>
      <c r="D12" s="31">
        <f>SUMIFS(AllData!D:D, AllData!B:B, B12)</f>
        <v>30</v>
      </c>
      <c r="E12" s="31">
        <f>SUMIFS(AllData!C:C, AllData!B:B, B12)</f>
        <v>64</v>
      </c>
      <c r="F12" s="31">
        <f>SUMIFS(AllData!E:E, AllData!B:B, B12)</f>
        <v>3</v>
      </c>
      <c r="G12" s="31">
        <f>SUMIFS(AllData!F:F, AllData!B:B, B12)</f>
        <v>3</v>
      </c>
      <c r="H12" s="31">
        <f>SUMIFS(AllData!G:G, AllData!B:B, B12)</f>
        <v>0</v>
      </c>
      <c r="I12" s="31">
        <f>SUMIFS(AllData!H:H, AllData!B:B, B12)</f>
        <v>0</v>
      </c>
      <c r="J12" s="29">
        <v>0.0</v>
      </c>
      <c r="K12" s="31">
        <f>SUMIFS(AllData!I:I, AllData!B:B, B12)</f>
        <v>0</v>
      </c>
      <c r="L12" s="27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22.5" customHeight="1">
      <c r="A13" s="25"/>
      <c r="B13" s="29" t="s">
        <v>83</v>
      </c>
      <c r="C13" s="30">
        <f t="shared" si="1"/>
        <v>0.303030303</v>
      </c>
      <c r="D13" s="31">
        <f>SUMIFS(AllData!D:D, AllData!B:B, B13)</f>
        <v>20</v>
      </c>
      <c r="E13" s="31">
        <f>SUMIFS(AllData!C:C, AllData!B:B, B13)</f>
        <v>46</v>
      </c>
      <c r="F13" s="31">
        <f>SUMIFS(AllData!E:E, AllData!B:B, B13)</f>
        <v>4</v>
      </c>
      <c r="G13" s="31">
        <f>SUMIFS(AllData!F:F, AllData!B:B, B13)</f>
        <v>3</v>
      </c>
      <c r="H13" s="31">
        <f>SUMIFS(AllData!G:G, AllData!B:B, B13)</f>
        <v>0</v>
      </c>
      <c r="I13" s="31">
        <f>SUMIFS(AllData!H:H, AllData!B:B, B13)</f>
        <v>0</v>
      </c>
      <c r="J13" s="29">
        <v>0.0</v>
      </c>
      <c r="K13" s="31">
        <f>SUMIFS(AllData!I:I, AllData!B:B, B13)</f>
        <v>0</v>
      </c>
      <c r="L13" s="27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2.5" customHeight="1">
      <c r="A14" s="25"/>
      <c r="B14" s="29" t="s">
        <v>84</v>
      </c>
      <c r="C14" s="30">
        <f t="shared" si="1"/>
        <v>0.3026315789</v>
      </c>
      <c r="D14" s="31">
        <f>SUMIFS(AllData!D:D, AllData!B:B, B14)</f>
        <v>23</v>
      </c>
      <c r="E14" s="31">
        <f>SUMIFS(AllData!C:C, AllData!B:B, B14)</f>
        <v>53</v>
      </c>
      <c r="F14" s="31">
        <f>SUMIFS(AllData!E:E, AllData!B:B, B14)</f>
        <v>3</v>
      </c>
      <c r="G14" s="31">
        <f>SUMIFS(AllData!F:F, AllData!B:B, B14)</f>
        <v>5</v>
      </c>
      <c r="H14" s="31">
        <f>SUMIFS(AllData!G:G, AllData!B:B, B14)</f>
        <v>0</v>
      </c>
      <c r="I14" s="31">
        <f>SUMIFS(AllData!H:H, AllData!B:B, B14)</f>
        <v>0</v>
      </c>
      <c r="J14" s="29">
        <v>0.0</v>
      </c>
      <c r="K14" s="31">
        <f>SUMIFS(AllData!I:I, AllData!B:B, B14)</f>
        <v>0</v>
      </c>
      <c r="L14" s="27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22.5" customHeight="1">
      <c r="A15" s="25"/>
      <c r="B15" s="29" t="s">
        <v>85</v>
      </c>
      <c r="C15" s="30">
        <f t="shared" si="1"/>
        <v>0.3</v>
      </c>
      <c r="D15" s="31">
        <f>SUMIFS(AllData!D:D, AllData!B:B, B15)</f>
        <v>21</v>
      </c>
      <c r="E15" s="31">
        <f>SUMIFS(AllData!C:C, AllData!B:B, B15)</f>
        <v>49</v>
      </c>
      <c r="F15" s="31">
        <f>SUMIFS(AllData!E:E, AllData!B:B, B15)</f>
        <v>4</v>
      </c>
      <c r="G15" s="31">
        <f>SUMIFS(AllData!F:F, AllData!B:B, B15)</f>
        <v>1</v>
      </c>
      <c r="H15" s="31">
        <f>SUMIFS(AllData!G:G, AllData!B:B, B15)</f>
        <v>0</v>
      </c>
      <c r="I15" s="31">
        <f>SUMIFS(AllData!H:H, AllData!B:B, B15)</f>
        <v>0</v>
      </c>
      <c r="J15" s="29">
        <v>0.0</v>
      </c>
      <c r="K15" s="31">
        <f>SUMIFS(AllData!I:I, AllData!B:B, B15)</f>
        <v>0</v>
      </c>
      <c r="L15" s="27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22.5" customHeight="1">
      <c r="A16" s="25"/>
      <c r="B16" s="29" t="s">
        <v>86</v>
      </c>
      <c r="C16" s="30">
        <f t="shared" si="1"/>
        <v>0.2972972973</v>
      </c>
      <c r="D16" s="31">
        <f>SUMIFS(AllData!D:D, AllData!B:B, B16)</f>
        <v>22</v>
      </c>
      <c r="E16" s="31">
        <f>SUMIFS(AllData!C:C, AllData!B:B, B16)</f>
        <v>52</v>
      </c>
      <c r="F16" s="31">
        <f>SUMIFS(AllData!E:E, AllData!B:B, B16)</f>
        <v>3</v>
      </c>
      <c r="G16" s="31">
        <f>SUMIFS(AllData!F:F, AllData!B:B, B16)</f>
        <v>3</v>
      </c>
      <c r="H16" s="31">
        <f>SUMIFS(AllData!G:G, AllData!B:B, B16)</f>
        <v>0</v>
      </c>
      <c r="I16" s="31">
        <f>SUMIFS(AllData!H:H, AllData!B:B, B16)</f>
        <v>0</v>
      </c>
      <c r="J16" s="29">
        <v>0.0</v>
      </c>
      <c r="K16" s="31">
        <f>SUMIFS(AllData!I:I, AllData!B:B, B16)</f>
        <v>0</v>
      </c>
      <c r="L16" s="27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22.5" customHeight="1">
      <c r="A17" s="25"/>
      <c r="B17" s="29" t="s">
        <v>87</v>
      </c>
      <c r="C17" s="30">
        <f t="shared" si="1"/>
        <v>0.2941176471</v>
      </c>
      <c r="D17" s="31">
        <f>SUMIFS(AllData!D:D, AllData!B:B, B17)</f>
        <v>15</v>
      </c>
      <c r="E17" s="31">
        <f>SUMIFS(AllData!C:C, AllData!B:B, B17)</f>
        <v>36</v>
      </c>
      <c r="F17" s="31">
        <f>SUMIFS(AllData!E:E, AllData!B:B, B17)</f>
        <v>4</v>
      </c>
      <c r="G17" s="31">
        <f>SUMIFS(AllData!F:F, AllData!B:B, B17)</f>
        <v>3</v>
      </c>
      <c r="H17" s="31">
        <f>SUMIFS(AllData!G:G, AllData!B:B, B17)</f>
        <v>0</v>
      </c>
      <c r="I17" s="31">
        <f>SUMIFS(AllData!H:H, AllData!B:B, B17)</f>
        <v>0</v>
      </c>
      <c r="J17" s="29">
        <v>0.0</v>
      </c>
      <c r="K17" s="31">
        <f>SUMIFS(AllData!I:I, AllData!B:B, B17)</f>
        <v>0</v>
      </c>
      <c r="L17" s="27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22.5" customHeight="1">
      <c r="A18" s="25"/>
      <c r="B18" s="29" t="s">
        <v>88</v>
      </c>
      <c r="C18" s="30">
        <f t="shared" si="1"/>
        <v>0.2903225806</v>
      </c>
      <c r="D18" s="31">
        <f>SUMIFS(AllData!D:D, AllData!B:B, B18)</f>
        <v>9</v>
      </c>
      <c r="E18" s="31">
        <f>SUMIFS(AllData!C:C, AllData!B:B, B18)</f>
        <v>22</v>
      </c>
      <c r="F18" s="31">
        <f>SUMIFS(AllData!E:E, AllData!B:B, B18)</f>
        <v>4</v>
      </c>
      <c r="G18" s="31">
        <f>SUMIFS(AllData!F:F, AllData!B:B, B18)</f>
        <v>1</v>
      </c>
      <c r="H18" s="31">
        <f>SUMIFS(AllData!G:G, AllData!B:B, B18)</f>
        <v>0</v>
      </c>
      <c r="I18" s="31">
        <f>SUMIFS(AllData!H:H, AllData!B:B, B18)</f>
        <v>0</v>
      </c>
      <c r="J18" s="29">
        <v>0.0</v>
      </c>
      <c r="K18" s="31">
        <f>SUMIFS(AllData!I:I, AllData!B:B, B18)</f>
        <v>1</v>
      </c>
      <c r="L18" s="27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22.5" customHeight="1">
      <c r="A19" s="25"/>
      <c r="B19" s="29" t="s">
        <v>89</v>
      </c>
      <c r="C19" s="30">
        <f t="shared" si="1"/>
        <v>0.2871287129</v>
      </c>
      <c r="D19" s="31">
        <f>SUMIFS(AllData!D:D, AllData!B:B, B19)</f>
        <v>29</v>
      </c>
      <c r="E19" s="31">
        <f>SUMIFS(AllData!C:C, AllData!B:B, B19)</f>
        <v>72</v>
      </c>
      <c r="F19" s="31">
        <f>SUMIFS(AllData!E:E, AllData!B:B, B19)</f>
        <v>3</v>
      </c>
      <c r="G19" s="31">
        <f>SUMIFS(AllData!F:F, AllData!B:B, B19)</f>
        <v>4</v>
      </c>
      <c r="H19" s="31">
        <f>SUMIFS(AllData!G:G, AllData!B:B, B19)</f>
        <v>0</v>
      </c>
      <c r="I19" s="31">
        <f>SUMIFS(AllData!H:H, AllData!B:B, B19)</f>
        <v>0</v>
      </c>
      <c r="J19" s="29">
        <v>0.0</v>
      </c>
      <c r="K19" s="31">
        <f>SUMIFS(AllData!I:I, AllData!B:B, B19)</f>
        <v>0</v>
      </c>
      <c r="L19" s="27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22.5" customHeight="1">
      <c r="A20" s="25"/>
      <c r="B20" s="29" t="s">
        <v>90</v>
      </c>
      <c r="C20" s="30">
        <f t="shared" si="1"/>
        <v>0.2857142857</v>
      </c>
      <c r="D20" s="31">
        <f>SUMIFS(AllData!D:D, AllData!B:B, B20)</f>
        <v>26</v>
      </c>
      <c r="E20" s="31">
        <f>SUMIFS(AllData!C:C, AllData!B:B, B20)</f>
        <v>65</v>
      </c>
      <c r="F20" s="31">
        <f>SUMIFS(AllData!E:E, AllData!B:B, B20)</f>
        <v>3</v>
      </c>
      <c r="G20" s="31">
        <f>SUMIFS(AllData!F:F, AllData!B:B, B20)</f>
        <v>5</v>
      </c>
      <c r="H20" s="31">
        <f>SUMIFS(AllData!G:G, AllData!B:B, B20)</f>
        <v>0</v>
      </c>
      <c r="I20" s="31">
        <f>SUMIFS(AllData!H:H, AllData!B:B, B20)</f>
        <v>0</v>
      </c>
      <c r="J20" s="29">
        <v>0.0</v>
      </c>
      <c r="K20" s="31">
        <f>SUMIFS(AllData!I:I, AllData!B:B, B20)</f>
        <v>0</v>
      </c>
      <c r="L20" s="27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22.5" customHeight="1">
      <c r="A21" s="25"/>
      <c r="B21" s="29" t="s">
        <v>91</v>
      </c>
      <c r="C21" s="30">
        <f t="shared" si="1"/>
        <v>0.28</v>
      </c>
      <c r="D21" s="31">
        <f>SUMIFS(AllData!D:D, AllData!B:B, B21)</f>
        <v>21</v>
      </c>
      <c r="E21" s="31">
        <f>SUMIFS(AllData!C:C, AllData!B:B, B21)</f>
        <v>54</v>
      </c>
      <c r="F21" s="31">
        <f>SUMIFS(AllData!E:E, AllData!B:B, B21)</f>
        <v>12</v>
      </c>
      <c r="G21" s="31">
        <f>SUMIFS(AllData!F:F, AllData!B:B, B21)</f>
        <v>1</v>
      </c>
      <c r="H21" s="31">
        <f>SUMIFS(AllData!G:G, AllData!B:B, B21)</f>
        <v>0</v>
      </c>
      <c r="I21" s="31">
        <f>SUMIFS(AllData!H:H, AllData!B:B, B21)</f>
        <v>0</v>
      </c>
      <c r="J21" s="29">
        <v>0.0</v>
      </c>
      <c r="K21" s="31">
        <f>SUMIFS(AllData!I:I, AllData!B:B, B21)</f>
        <v>0</v>
      </c>
      <c r="L21" s="27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22.5" customHeight="1">
      <c r="A22" s="25"/>
      <c r="B22" s="29" t="s">
        <v>92</v>
      </c>
      <c r="C22" s="30">
        <f t="shared" si="1"/>
        <v>0.2777777778</v>
      </c>
      <c r="D22" s="31">
        <f>SUMIFS(AllData!D:D, AllData!B:B, B22)</f>
        <v>20</v>
      </c>
      <c r="E22" s="31">
        <f>SUMIFS(AllData!C:C, AllData!B:B, B22)</f>
        <v>52</v>
      </c>
      <c r="F22" s="31">
        <f>SUMIFS(AllData!E:E, AllData!B:B, B22)</f>
        <v>1</v>
      </c>
      <c r="G22" s="31">
        <f>SUMIFS(AllData!F:F, AllData!B:B, B22)</f>
        <v>4</v>
      </c>
      <c r="H22" s="31">
        <f>SUMIFS(AllData!G:G, AllData!B:B, B22)</f>
        <v>0</v>
      </c>
      <c r="I22" s="31">
        <f>SUMIFS(AllData!H:H, AllData!B:B, B22)</f>
        <v>0</v>
      </c>
      <c r="J22" s="29">
        <v>0.0</v>
      </c>
      <c r="K22" s="31">
        <f>SUMIFS(AllData!I:I, AllData!B:B, B22)</f>
        <v>0</v>
      </c>
      <c r="L22" s="27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22.5" customHeight="1">
      <c r="A23" s="25"/>
      <c r="B23" s="29" t="s">
        <v>93</v>
      </c>
      <c r="C23" s="30">
        <f t="shared" si="1"/>
        <v>0.2727272727</v>
      </c>
      <c r="D23" s="31">
        <f>SUMIFS(AllData!D:D, AllData!B:B, B23)</f>
        <v>15</v>
      </c>
      <c r="E23" s="31">
        <f>SUMIFS(AllData!C:C, AllData!B:B, B23)</f>
        <v>40</v>
      </c>
      <c r="F23" s="31">
        <f>SUMIFS(AllData!E:E, AllData!B:B, B23)</f>
        <v>2</v>
      </c>
      <c r="G23" s="31">
        <f>SUMIFS(AllData!F:F, AllData!B:B, B23)</f>
        <v>2</v>
      </c>
      <c r="H23" s="31">
        <f>SUMIFS(AllData!G:G, AllData!B:B, B23)</f>
        <v>0</v>
      </c>
      <c r="I23" s="31">
        <f>SUMIFS(AllData!H:H, AllData!B:B, B23)</f>
        <v>0</v>
      </c>
      <c r="J23" s="29">
        <v>0.0</v>
      </c>
      <c r="K23" s="31">
        <f>SUMIFS(AllData!I:I, AllData!B:B, B23)</f>
        <v>0</v>
      </c>
      <c r="L23" s="27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22.5" customHeight="1">
      <c r="A24" s="25"/>
      <c r="B24" s="29" t="s">
        <v>94</v>
      </c>
      <c r="C24" s="30">
        <f t="shared" si="1"/>
        <v>0.2692307692</v>
      </c>
      <c r="D24" s="31">
        <f>SUMIFS(AllData!D:D, AllData!B:B, B24)</f>
        <v>21</v>
      </c>
      <c r="E24" s="31">
        <f>SUMIFS(AllData!C:C, AllData!B:B, B24)</f>
        <v>57</v>
      </c>
      <c r="F24" s="31">
        <f>SUMIFS(AllData!E:E, AllData!B:B, B24)</f>
        <v>1</v>
      </c>
      <c r="G24" s="31">
        <f>SUMIFS(AllData!F:F, AllData!B:B, B24)</f>
        <v>0</v>
      </c>
      <c r="H24" s="31">
        <f>SUMIFS(AllData!G:G, AllData!B:B, B24)</f>
        <v>0</v>
      </c>
      <c r="I24" s="31">
        <f>SUMIFS(AllData!H:H, AllData!B:B, B24)</f>
        <v>0</v>
      </c>
      <c r="J24" s="29">
        <v>0.0</v>
      </c>
      <c r="K24" s="31">
        <f>SUMIFS(AllData!I:I, AllData!B:B, B24)</f>
        <v>0</v>
      </c>
      <c r="L24" s="27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22.5" customHeight="1">
      <c r="A25" s="25"/>
      <c r="B25" s="29" t="s">
        <v>95</v>
      </c>
      <c r="C25" s="30">
        <f t="shared" si="1"/>
        <v>0.2678571429</v>
      </c>
      <c r="D25" s="31">
        <f>SUMIFS(AllData!D:D, AllData!B:B, B25)</f>
        <v>15</v>
      </c>
      <c r="E25" s="31">
        <f>SUMIFS(AllData!C:C, AllData!B:B, B25)</f>
        <v>41</v>
      </c>
      <c r="F25" s="31">
        <f>SUMIFS(AllData!E:E, AllData!B:B, B25)</f>
        <v>3</v>
      </c>
      <c r="G25" s="31">
        <f>SUMIFS(AllData!F:F, AllData!B:B, B25)</f>
        <v>2</v>
      </c>
      <c r="H25" s="31">
        <f>SUMIFS(AllData!G:G, AllData!B:B, B25)</f>
        <v>0</v>
      </c>
      <c r="I25" s="31">
        <f>SUMIFS(AllData!H:H, AllData!B:B, B25)</f>
        <v>0</v>
      </c>
      <c r="J25" s="29">
        <v>0.0</v>
      </c>
      <c r="K25" s="31">
        <f>SUMIFS(AllData!I:I, AllData!B:B, B25)</f>
        <v>0</v>
      </c>
      <c r="L25" s="27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22.5" customHeight="1">
      <c r="A26" s="25"/>
      <c r="B26" s="29" t="s">
        <v>96</v>
      </c>
      <c r="C26" s="30">
        <f t="shared" si="1"/>
        <v>0.2673267327</v>
      </c>
      <c r="D26" s="31">
        <f>SUMIFS(AllData!D:D, AllData!B:B, B26)</f>
        <v>27</v>
      </c>
      <c r="E26" s="31">
        <f>SUMIFS(AllData!C:C, AllData!B:B, B26)</f>
        <v>74</v>
      </c>
      <c r="F26" s="31">
        <f>SUMIFS(AllData!E:E, AllData!B:B, B26)</f>
        <v>3</v>
      </c>
      <c r="G26" s="31">
        <f>SUMIFS(AllData!F:F, AllData!B:B, B26)</f>
        <v>4</v>
      </c>
      <c r="H26" s="31">
        <f>SUMIFS(AllData!G:G, AllData!B:B, B26)</f>
        <v>0</v>
      </c>
      <c r="I26" s="31">
        <f>SUMIFS(AllData!H:H, AllData!B:B, B26)</f>
        <v>0</v>
      </c>
      <c r="J26" s="29">
        <v>0.0</v>
      </c>
      <c r="K26" s="31">
        <f>SUMIFS(AllData!I:I, AllData!B:B, B26)</f>
        <v>1</v>
      </c>
      <c r="L26" s="27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22.5" customHeight="1">
      <c r="A27" s="25"/>
      <c r="B27" s="29" t="s">
        <v>97</v>
      </c>
      <c r="C27" s="30">
        <f t="shared" si="1"/>
        <v>0.2580645161</v>
      </c>
      <c r="D27" s="31">
        <f>SUMIFS(AllData!D:D, AllData!B:B, B27)</f>
        <v>8</v>
      </c>
      <c r="E27" s="31">
        <f>SUMIFS(AllData!C:C, AllData!B:B, B27)</f>
        <v>23</v>
      </c>
      <c r="F27" s="31">
        <f>SUMIFS(AllData!E:E, AllData!B:B, B27)</f>
        <v>1</v>
      </c>
      <c r="G27" s="31">
        <f>SUMIFS(AllData!F:F, AllData!B:B, B27)</f>
        <v>1</v>
      </c>
      <c r="H27" s="31">
        <f>SUMIFS(AllData!G:G, AllData!B:B, B27)</f>
        <v>0</v>
      </c>
      <c r="I27" s="31">
        <f>SUMIFS(AllData!H:H, AllData!B:B, B27)</f>
        <v>0</v>
      </c>
      <c r="J27" s="29">
        <v>0.0</v>
      </c>
      <c r="K27" s="31">
        <f>SUMIFS(AllData!I:I, AllData!B:B, B27)</f>
        <v>0</v>
      </c>
      <c r="L27" s="27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22.5" customHeight="1">
      <c r="A28" s="25"/>
      <c r="B28" s="29" t="s">
        <v>98</v>
      </c>
      <c r="C28" s="30">
        <f t="shared" si="1"/>
        <v>0.2564102564</v>
      </c>
      <c r="D28" s="31">
        <f>SUMIFS(AllData!D:D, AllData!B:B, B28)</f>
        <v>10</v>
      </c>
      <c r="E28" s="31">
        <f>SUMIFS(AllData!C:C, AllData!B:B, B28)</f>
        <v>29</v>
      </c>
      <c r="F28" s="31">
        <f>SUMIFS(AllData!E:E, AllData!B:B, B28)</f>
        <v>0</v>
      </c>
      <c r="G28" s="31">
        <f>SUMIFS(AllData!F:F, AllData!B:B, B28)</f>
        <v>1</v>
      </c>
      <c r="H28" s="31">
        <f>SUMIFS(AllData!G:G, AllData!B:B, B28)</f>
        <v>0</v>
      </c>
      <c r="I28" s="31">
        <f>SUMIFS(AllData!H:H, AllData!B:B, B28)</f>
        <v>0</v>
      </c>
      <c r="J28" s="29">
        <v>0.0</v>
      </c>
      <c r="K28" s="31">
        <f>SUMIFS(AllData!I:I, AllData!B:B, B28)</f>
        <v>0</v>
      </c>
      <c r="L28" s="27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22.5" customHeight="1">
      <c r="A29" s="25"/>
      <c r="B29" s="29" t="s">
        <v>99</v>
      </c>
      <c r="C29" s="30">
        <f t="shared" si="1"/>
        <v>0.253164557</v>
      </c>
      <c r="D29" s="31">
        <f>SUMIFS(AllData!D:D, AllData!B:B, B29)</f>
        <v>20</v>
      </c>
      <c r="E29" s="31">
        <f>SUMIFS(AllData!C:C, AllData!B:B, B29)</f>
        <v>59</v>
      </c>
      <c r="F29" s="31">
        <f>SUMIFS(AllData!E:E, AllData!B:B, B29)</f>
        <v>4</v>
      </c>
      <c r="G29" s="31">
        <f>SUMIFS(AllData!F:F, AllData!B:B, B29)</f>
        <v>4</v>
      </c>
      <c r="H29" s="31">
        <f>SUMIFS(AllData!G:G, AllData!B:B, B29)</f>
        <v>0</v>
      </c>
      <c r="I29" s="31">
        <f>SUMIFS(AllData!H:H, AllData!B:B, B29)</f>
        <v>0</v>
      </c>
      <c r="J29" s="29">
        <v>0.0</v>
      </c>
      <c r="K29" s="31">
        <f>SUMIFS(AllData!I:I, AllData!B:B, B29)</f>
        <v>0</v>
      </c>
      <c r="L29" s="27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22.5" customHeight="1">
      <c r="A30" s="25"/>
      <c r="B30" s="29" t="s">
        <v>100</v>
      </c>
      <c r="C30" s="30">
        <f t="shared" si="1"/>
        <v>0.25</v>
      </c>
      <c r="D30" s="31">
        <f>SUMIFS(AllData!D:D, AllData!B:B, B30)</f>
        <v>23</v>
      </c>
      <c r="E30" s="31">
        <f>SUMIFS(AllData!C:C, AllData!B:B, B30)</f>
        <v>69</v>
      </c>
      <c r="F30" s="31">
        <f>SUMIFS(AllData!E:E, AllData!B:B, B30)</f>
        <v>6</v>
      </c>
      <c r="G30" s="31">
        <f>SUMIFS(AllData!F:F, AllData!B:B, B30)</f>
        <v>1</v>
      </c>
      <c r="H30" s="31">
        <f>SUMIFS(AllData!G:G, AllData!B:B, B30)</f>
        <v>0</v>
      </c>
      <c r="I30" s="31">
        <f>SUMIFS(AllData!H:H, AllData!B:B, B30)</f>
        <v>0</v>
      </c>
      <c r="J30" s="29">
        <v>0.0</v>
      </c>
      <c r="K30" s="31">
        <f>SUMIFS(AllData!I:I, AllData!B:B, B30)</f>
        <v>0</v>
      </c>
      <c r="L30" s="27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22.5" customHeight="1">
      <c r="A31" s="25"/>
      <c r="B31" s="29" t="s">
        <v>101</v>
      </c>
      <c r="C31" s="30">
        <f t="shared" si="1"/>
        <v>0.2448979592</v>
      </c>
      <c r="D31" s="31">
        <f>SUMIFS(AllData!D:D, AllData!B:B, B31)</f>
        <v>12</v>
      </c>
      <c r="E31" s="31">
        <f>SUMIFS(AllData!C:C, AllData!B:B, B31)</f>
        <v>37</v>
      </c>
      <c r="F31" s="31">
        <f>SUMIFS(AllData!E:E, AllData!B:B, B31)</f>
        <v>3</v>
      </c>
      <c r="G31" s="31">
        <f>SUMIFS(AllData!F:F, AllData!B:B, B31)</f>
        <v>1</v>
      </c>
      <c r="H31" s="31">
        <f>SUMIFS(AllData!G:G, AllData!B:B, B31)</f>
        <v>0</v>
      </c>
      <c r="I31" s="31">
        <f>SUMIFS(AllData!H:H, AllData!B:B, B31)</f>
        <v>0</v>
      </c>
      <c r="J31" s="29">
        <v>0.0</v>
      </c>
      <c r="K31" s="31">
        <f>SUMIFS(AllData!I:I, AllData!B:B, B31)</f>
        <v>0</v>
      </c>
      <c r="L31" s="27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22.5" customHeight="1">
      <c r="A32" s="25"/>
      <c r="B32" s="29" t="s">
        <v>102</v>
      </c>
      <c r="C32" s="30">
        <f t="shared" si="1"/>
        <v>0.2444444444</v>
      </c>
      <c r="D32" s="31">
        <f>SUMIFS(AllData!D:D, AllData!B:B, B32)</f>
        <v>11</v>
      </c>
      <c r="E32" s="31">
        <f>SUMIFS(AllData!C:C, AllData!B:B, B32)</f>
        <v>34</v>
      </c>
      <c r="F32" s="31">
        <f>SUMIFS(AllData!E:E, AllData!B:B, B32)</f>
        <v>4</v>
      </c>
      <c r="G32" s="31">
        <f>SUMIFS(AllData!F:F, AllData!B:B, B32)</f>
        <v>3</v>
      </c>
      <c r="H32" s="31">
        <f>SUMIFS(AllData!G:G, AllData!B:B, B32)</f>
        <v>0</v>
      </c>
      <c r="I32" s="31">
        <f>SUMIFS(AllData!H:H, AllData!B:B, B32)</f>
        <v>0</v>
      </c>
      <c r="J32" s="29">
        <v>0.0</v>
      </c>
      <c r="K32" s="31">
        <f>SUMIFS(AllData!I:I, AllData!B:B, B32)</f>
        <v>0</v>
      </c>
      <c r="L32" s="27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22.5" customHeight="1">
      <c r="A33" s="25"/>
      <c r="B33" s="29" t="s">
        <v>103</v>
      </c>
      <c r="C33" s="30">
        <f t="shared" si="1"/>
        <v>0.2413793103</v>
      </c>
      <c r="D33" s="31">
        <f>SUMIFS(AllData!D:D, AllData!B:B, B33)</f>
        <v>14</v>
      </c>
      <c r="E33" s="31">
        <f>SUMIFS(AllData!C:C, AllData!B:B, B33)</f>
        <v>44</v>
      </c>
      <c r="F33" s="31">
        <f>SUMIFS(AllData!E:E, AllData!B:B, B33)</f>
        <v>0</v>
      </c>
      <c r="G33" s="31">
        <f>SUMIFS(AllData!F:F, AllData!B:B, B33)</f>
        <v>3</v>
      </c>
      <c r="H33" s="31">
        <f>SUMIFS(AllData!G:G, AllData!B:B, B33)</f>
        <v>0</v>
      </c>
      <c r="I33" s="31">
        <f>SUMIFS(AllData!H:H, AllData!B:B, B33)</f>
        <v>0</v>
      </c>
      <c r="J33" s="29">
        <v>0.0</v>
      </c>
      <c r="K33" s="31">
        <f>SUMIFS(AllData!I:I, AllData!B:B, B33)</f>
        <v>0</v>
      </c>
      <c r="L33" s="27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22.5" customHeight="1">
      <c r="A34" s="25"/>
      <c r="B34" s="29" t="s">
        <v>104</v>
      </c>
      <c r="C34" s="30">
        <f t="shared" si="1"/>
        <v>0.24</v>
      </c>
      <c r="D34" s="31">
        <f>SUMIFS(AllData!D:D, AllData!B:B, B34)</f>
        <v>12</v>
      </c>
      <c r="E34" s="31">
        <f>SUMIFS(AllData!C:C, AllData!B:B, B34)</f>
        <v>38</v>
      </c>
      <c r="F34" s="31">
        <f>SUMIFS(AllData!E:E, AllData!B:B, B34)</f>
        <v>3</v>
      </c>
      <c r="G34" s="31">
        <f>SUMIFS(AllData!F:F, AllData!B:B, B34)</f>
        <v>7</v>
      </c>
      <c r="H34" s="31">
        <f>SUMIFS(AllData!G:G, AllData!B:B, B34)</f>
        <v>0</v>
      </c>
      <c r="I34" s="31">
        <f>SUMIFS(AllData!H:H, AllData!B:B, B34)</f>
        <v>0</v>
      </c>
      <c r="J34" s="29">
        <v>0.0</v>
      </c>
      <c r="K34" s="31">
        <f>SUMIFS(AllData!I:I, AllData!B:B, B34)</f>
        <v>0</v>
      </c>
      <c r="L34" s="27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22.5" customHeight="1">
      <c r="A35" s="25"/>
      <c r="B35" s="29" t="s">
        <v>105</v>
      </c>
      <c r="C35" s="30">
        <f t="shared" si="1"/>
        <v>0.24</v>
      </c>
      <c r="D35" s="31">
        <f>SUMIFS(AllData!D:D, AllData!B:B, B35)</f>
        <v>12</v>
      </c>
      <c r="E35" s="31">
        <f>SUMIFS(AllData!C:C, AllData!B:B, B35)</f>
        <v>38</v>
      </c>
      <c r="F35" s="31">
        <f>SUMIFS(AllData!E:E, AllData!B:B, B35)</f>
        <v>3</v>
      </c>
      <c r="G35" s="31">
        <f>SUMIFS(AllData!F:F, AllData!B:B, B35)</f>
        <v>1</v>
      </c>
      <c r="H35" s="31">
        <f>SUMIFS(AllData!G:G, AllData!B:B, B35)</f>
        <v>0</v>
      </c>
      <c r="I35" s="31">
        <f>SUMIFS(AllData!H:H, AllData!B:B, B35)</f>
        <v>0</v>
      </c>
      <c r="J35" s="29">
        <v>0.0</v>
      </c>
      <c r="K35" s="31">
        <f>SUMIFS(AllData!I:I, AllData!B:B, B35)</f>
        <v>0</v>
      </c>
      <c r="L35" s="27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22.5" customHeight="1">
      <c r="A36" s="25"/>
      <c r="B36" s="29" t="s">
        <v>106</v>
      </c>
      <c r="C36" s="30">
        <f t="shared" si="1"/>
        <v>0.2391304348</v>
      </c>
      <c r="D36" s="31">
        <f>SUMIFS(AllData!D:D, AllData!B:B, B36)</f>
        <v>22</v>
      </c>
      <c r="E36" s="31">
        <f>SUMIFS(AllData!C:C, AllData!B:B, B36)</f>
        <v>70</v>
      </c>
      <c r="F36" s="31">
        <f>SUMIFS(AllData!E:E, AllData!B:B, B36)</f>
        <v>4</v>
      </c>
      <c r="G36" s="31">
        <f>SUMIFS(AllData!F:F, AllData!B:B, B36)</f>
        <v>3</v>
      </c>
      <c r="H36" s="31">
        <f>SUMIFS(AllData!G:G, AllData!B:B, B36)</f>
        <v>0</v>
      </c>
      <c r="I36" s="31">
        <f>SUMIFS(AllData!H:H, AllData!B:B, B36)</f>
        <v>0</v>
      </c>
      <c r="J36" s="29">
        <v>0.0</v>
      </c>
      <c r="K36" s="31">
        <f>SUMIFS(AllData!I:I, AllData!B:B, B36)</f>
        <v>0</v>
      </c>
      <c r="L36" s="27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22.5" customHeight="1">
      <c r="A37" s="25"/>
      <c r="B37" s="29" t="s">
        <v>107</v>
      </c>
      <c r="C37" s="30">
        <f t="shared" si="1"/>
        <v>0.2333333333</v>
      </c>
      <c r="D37" s="31">
        <f>SUMIFS(AllData!D:D, AllData!B:B, B37)</f>
        <v>14</v>
      </c>
      <c r="E37" s="31">
        <f>SUMIFS(AllData!C:C, AllData!B:B, B37)</f>
        <v>46</v>
      </c>
      <c r="F37" s="31">
        <f>SUMIFS(AllData!E:E, AllData!B:B, B37)</f>
        <v>1</v>
      </c>
      <c r="G37" s="31">
        <f>SUMIFS(AllData!F:F, AllData!B:B, B37)</f>
        <v>3</v>
      </c>
      <c r="H37" s="31">
        <f>SUMIFS(AllData!G:G, AllData!B:B, B37)</f>
        <v>0</v>
      </c>
      <c r="I37" s="31">
        <f>SUMIFS(AllData!H:H, AllData!B:B, B37)</f>
        <v>0</v>
      </c>
      <c r="J37" s="29">
        <v>0.0</v>
      </c>
      <c r="K37" s="31">
        <f>SUMIFS(AllData!I:I, AllData!B:B, B37)</f>
        <v>0</v>
      </c>
      <c r="L37" s="27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22.5" customHeight="1">
      <c r="A38" s="25"/>
      <c r="B38" s="29" t="s">
        <v>108</v>
      </c>
      <c r="C38" s="30">
        <f t="shared" si="1"/>
        <v>0.2307692308</v>
      </c>
      <c r="D38" s="31">
        <f>SUMIFS(AllData!D:D, AllData!B:B, B38)</f>
        <v>9</v>
      </c>
      <c r="E38" s="31">
        <f>SUMIFS(AllData!C:C, AllData!B:B, B38)</f>
        <v>30</v>
      </c>
      <c r="F38" s="31">
        <f>SUMIFS(AllData!E:E, AllData!B:B, B38)</f>
        <v>0</v>
      </c>
      <c r="G38" s="31">
        <f>SUMIFS(AllData!F:F, AllData!B:B, B38)</f>
        <v>5</v>
      </c>
      <c r="H38" s="31">
        <f>SUMIFS(AllData!G:G, AllData!B:B, B38)</f>
        <v>0</v>
      </c>
      <c r="I38" s="31">
        <f>SUMIFS(AllData!H:H, AllData!B:B, B38)</f>
        <v>0</v>
      </c>
      <c r="J38" s="29">
        <v>0.0</v>
      </c>
      <c r="K38" s="31">
        <f>SUMIFS(AllData!I:I, AllData!B:B, B38)</f>
        <v>0</v>
      </c>
      <c r="L38" s="27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22.5" customHeight="1">
      <c r="A39" s="25"/>
      <c r="B39" s="29" t="s">
        <v>109</v>
      </c>
      <c r="C39" s="30">
        <f t="shared" si="1"/>
        <v>0.2307692308</v>
      </c>
      <c r="D39" s="31">
        <f>SUMIFS(AllData!D:D, AllData!B:B, B39)</f>
        <v>12</v>
      </c>
      <c r="E39" s="31">
        <f>SUMIFS(AllData!C:C, AllData!B:B, B39)</f>
        <v>40</v>
      </c>
      <c r="F39" s="31">
        <f>SUMIFS(AllData!E:E, AllData!B:B, B39)</f>
        <v>0</v>
      </c>
      <c r="G39" s="31">
        <f>SUMIFS(AllData!F:F, AllData!B:B, B39)</f>
        <v>1</v>
      </c>
      <c r="H39" s="31">
        <f>SUMIFS(AllData!G:G, AllData!B:B, B39)</f>
        <v>0</v>
      </c>
      <c r="I39" s="31">
        <f>SUMIFS(AllData!H:H, AllData!B:B, B39)</f>
        <v>0</v>
      </c>
      <c r="J39" s="29">
        <v>0.0</v>
      </c>
      <c r="K39" s="31">
        <f>SUMIFS(AllData!I:I, AllData!B:B, B39)</f>
        <v>0</v>
      </c>
      <c r="L39" s="27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22.5" customHeight="1">
      <c r="A40" s="25"/>
      <c r="B40" s="29" t="s">
        <v>110</v>
      </c>
      <c r="C40" s="30">
        <f t="shared" si="1"/>
        <v>0.2272727273</v>
      </c>
      <c r="D40" s="31">
        <f>SUMIFS(AllData!D:D, AllData!B:B, B40)</f>
        <v>15</v>
      </c>
      <c r="E40" s="31">
        <f>SUMIFS(AllData!C:C, AllData!B:B, B40)</f>
        <v>51</v>
      </c>
      <c r="F40" s="31">
        <f>SUMIFS(AllData!E:E, AllData!B:B, B40)</f>
        <v>1</v>
      </c>
      <c r="G40" s="31">
        <f>SUMIFS(AllData!F:F, AllData!B:B, B40)</f>
        <v>3</v>
      </c>
      <c r="H40" s="31">
        <f>SUMIFS(AllData!G:G, AllData!B:B, B40)</f>
        <v>0</v>
      </c>
      <c r="I40" s="31">
        <f>SUMIFS(AllData!H:H, AllData!B:B, B40)</f>
        <v>0</v>
      </c>
      <c r="J40" s="29">
        <v>0.0</v>
      </c>
      <c r="K40" s="31">
        <f>SUMIFS(AllData!I:I, AllData!B:B, B40)</f>
        <v>0</v>
      </c>
      <c r="L40" s="27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22.5" customHeight="1">
      <c r="A41" s="25"/>
      <c r="B41" s="29" t="s">
        <v>111</v>
      </c>
      <c r="C41" s="30">
        <f t="shared" si="1"/>
        <v>0.2266666667</v>
      </c>
      <c r="D41" s="31">
        <f>SUMIFS(AllData!D:D, AllData!B:B, B41)</f>
        <v>17</v>
      </c>
      <c r="E41" s="31">
        <f>SUMIFS(AllData!C:C, AllData!B:B, B41)</f>
        <v>58</v>
      </c>
      <c r="F41" s="31">
        <f>SUMIFS(AllData!E:E, AllData!B:B, B41)</f>
        <v>2</v>
      </c>
      <c r="G41" s="31">
        <f>SUMIFS(AllData!F:F, AllData!B:B, B41)</f>
        <v>3</v>
      </c>
      <c r="H41" s="31">
        <f>SUMIFS(AllData!G:G, AllData!B:B, B41)</f>
        <v>0</v>
      </c>
      <c r="I41" s="31">
        <f>SUMIFS(AllData!H:H, AllData!B:B, B41)</f>
        <v>0</v>
      </c>
      <c r="J41" s="29">
        <v>0.0</v>
      </c>
      <c r="K41" s="31">
        <f>SUMIFS(AllData!I:I, AllData!B:B, B41)</f>
        <v>0</v>
      </c>
      <c r="L41" s="27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22.5" customHeight="1">
      <c r="A42" s="25"/>
      <c r="B42" s="29" t="s">
        <v>112</v>
      </c>
      <c r="C42" s="30">
        <f t="shared" si="1"/>
        <v>0.225</v>
      </c>
      <c r="D42" s="31">
        <f>SUMIFS(AllData!D:D, AllData!B:B, B42)</f>
        <v>18</v>
      </c>
      <c r="E42" s="31">
        <f>SUMIFS(AllData!C:C, AllData!B:B, B42)</f>
        <v>62</v>
      </c>
      <c r="F42" s="31">
        <f>SUMIFS(AllData!E:E, AllData!B:B, B42)</f>
        <v>0</v>
      </c>
      <c r="G42" s="31">
        <f>SUMIFS(AllData!F:F, AllData!B:B, B42)</f>
        <v>3</v>
      </c>
      <c r="H42" s="31">
        <f>SUMIFS(AllData!G:G, AllData!B:B, B42)</f>
        <v>0</v>
      </c>
      <c r="I42" s="31">
        <f>SUMIFS(AllData!H:H, AllData!B:B, B42)</f>
        <v>0</v>
      </c>
      <c r="J42" s="29">
        <v>0.0</v>
      </c>
      <c r="K42" s="31">
        <f>SUMIFS(AllData!I:I, AllData!B:B, B42)</f>
        <v>0</v>
      </c>
      <c r="L42" s="27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22.5" customHeight="1">
      <c r="A43" s="25"/>
      <c r="B43" s="29" t="s">
        <v>113</v>
      </c>
      <c r="C43" s="30">
        <f t="shared" si="1"/>
        <v>0.21875</v>
      </c>
      <c r="D43" s="31">
        <f>SUMIFS(AllData!D:D, AllData!B:B, B43)</f>
        <v>7</v>
      </c>
      <c r="E43" s="31">
        <f>SUMIFS(AllData!C:C, AllData!B:B, B43)</f>
        <v>25</v>
      </c>
      <c r="F43" s="31">
        <f>SUMIFS(AllData!E:E, AllData!B:B, B43)</f>
        <v>1</v>
      </c>
      <c r="G43" s="31">
        <f>SUMIFS(AllData!F:F, AllData!B:B, B43)</f>
        <v>1</v>
      </c>
      <c r="H43" s="31">
        <f>SUMIFS(AllData!G:G, AllData!B:B, B43)</f>
        <v>0</v>
      </c>
      <c r="I43" s="31">
        <f>SUMIFS(AllData!H:H, AllData!B:B, B43)</f>
        <v>0</v>
      </c>
      <c r="J43" s="29">
        <v>0.0</v>
      </c>
      <c r="K43" s="31">
        <f>SUMIFS(AllData!I:I, AllData!B:B, B43)</f>
        <v>0</v>
      </c>
      <c r="L43" s="27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22.5" customHeight="1">
      <c r="A44" s="25"/>
      <c r="B44" s="29" t="s">
        <v>114</v>
      </c>
      <c r="C44" s="30">
        <f t="shared" si="1"/>
        <v>0.2068965517</v>
      </c>
      <c r="D44" s="31">
        <f>SUMIFS(AllData!D:D, AllData!B:B, B44)</f>
        <v>12</v>
      </c>
      <c r="E44" s="31">
        <f>SUMIFS(AllData!C:C, AllData!B:B, B44)</f>
        <v>46</v>
      </c>
      <c r="F44" s="31">
        <f>SUMIFS(AllData!E:E, AllData!B:B, B44)</f>
        <v>2</v>
      </c>
      <c r="G44" s="31">
        <f>SUMIFS(AllData!F:F, AllData!B:B, B44)</f>
        <v>7</v>
      </c>
      <c r="H44" s="31">
        <f>SUMIFS(AllData!G:G, AllData!B:B, B44)</f>
        <v>0</v>
      </c>
      <c r="I44" s="31">
        <f>SUMIFS(AllData!H:H, AllData!B:B, B44)</f>
        <v>0</v>
      </c>
      <c r="J44" s="29">
        <v>0.0</v>
      </c>
      <c r="K44" s="31">
        <f>SUMIFS(AllData!I:I, AllData!B:B, B44)</f>
        <v>1</v>
      </c>
      <c r="L44" s="27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22.5" customHeight="1">
      <c r="A45" s="25"/>
      <c r="B45" s="29" t="s">
        <v>115</v>
      </c>
      <c r="C45" s="30">
        <f t="shared" si="1"/>
        <v>0.2068965517</v>
      </c>
      <c r="D45" s="31">
        <f>SUMIFS(AllData!D:D, AllData!B:B, B45)</f>
        <v>6</v>
      </c>
      <c r="E45" s="31">
        <f>SUMIFS(AllData!C:C, AllData!B:B, B45)</f>
        <v>23</v>
      </c>
      <c r="F45" s="31">
        <f>SUMIFS(AllData!E:E, AllData!B:B, B45)</f>
        <v>1</v>
      </c>
      <c r="G45" s="31">
        <f>SUMIFS(AllData!F:F, AllData!B:B, B45)</f>
        <v>2</v>
      </c>
      <c r="H45" s="31">
        <f>SUMIFS(AllData!G:G, AllData!B:B, B45)</f>
        <v>0</v>
      </c>
      <c r="I45" s="31">
        <f>SUMIFS(AllData!H:H, AllData!B:B, B45)</f>
        <v>0</v>
      </c>
      <c r="J45" s="29">
        <v>0.0</v>
      </c>
      <c r="K45" s="31">
        <f>SUMIFS(AllData!I:I, AllData!B:B, B45)</f>
        <v>0</v>
      </c>
      <c r="L45" s="27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22.5" customHeight="1">
      <c r="A46" s="25"/>
      <c r="B46" s="29" t="s">
        <v>116</v>
      </c>
      <c r="C46" s="30">
        <f t="shared" si="1"/>
        <v>0.2025316456</v>
      </c>
      <c r="D46" s="31">
        <f>SUMIFS(AllData!D:D, AllData!B:B, B46)</f>
        <v>16</v>
      </c>
      <c r="E46" s="31">
        <f>SUMIFS(AllData!C:C, AllData!B:B, B46)</f>
        <v>63</v>
      </c>
      <c r="F46" s="31">
        <f>SUMIFS(AllData!E:E, AllData!B:B, B46)</f>
        <v>5</v>
      </c>
      <c r="G46" s="31">
        <f>SUMIFS(AllData!F:F, AllData!B:B, B46)</f>
        <v>2</v>
      </c>
      <c r="H46" s="31">
        <f>SUMIFS(AllData!G:G, AllData!B:B, B46)</f>
        <v>2</v>
      </c>
      <c r="I46" s="31">
        <f>SUMIFS(AllData!H:H, AllData!B:B, B46)</f>
        <v>0</v>
      </c>
      <c r="J46" s="29">
        <v>0.0</v>
      </c>
      <c r="K46" s="31">
        <f>SUMIFS(AllData!I:I, AllData!B:B, B46)</f>
        <v>0</v>
      </c>
      <c r="L46" s="27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22.5" customHeight="1">
      <c r="A47" s="25"/>
      <c r="B47" s="29" t="s">
        <v>117</v>
      </c>
      <c r="C47" s="30">
        <f t="shared" si="1"/>
        <v>0.2</v>
      </c>
      <c r="D47" s="31">
        <f>SUMIFS(AllData!D:D, AllData!B:B, B47)</f>
        <v>9</v>
      </c>
      <c r="E47" s="31">
        <f>SUMIFS(AllData!C:C, AllData!B:B, B47)</f>
        <v>36</v>
      </c>
      <c r="F47" s="31">
        <f>SUMIFS(AllData!E:E, AllData!B:B, B47)</f>
        <v>1</v>
      </c>
      <c r="G47" s="31">
        <f>SUMIFS(AllData!F:F, AllData!B:B, B47)</f>
        <v>4</v>
      </c>
      <c r="H47" s="31">
        <f>SUMIFS(AllData!G:G, AllData!B:B, B47)</f>
        <v>0</v>
      </c>
      <c r="I47" s="31">
        <f>SUMIFS(AllData!H:H, AllData!B:B, B47)</f>
        <v>0</v>
      </c>
      <c r="J47" s="29">
        <v>0.0</v>
      </c>
      <c r="K47" s="31">
        <f>SUMIFS(AllData!I:I, AllData!B:B, B47)</f>
        <v>0</v>
      </c>
      <c r="L47" s="27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22.5" customHeight="1">
      <c r="A48" s="25"/>
      <c r="B48" s="29" t="s">
        <v>118</v>
      </c>
      <c r="C48" s="30">
        <f t="shared" si="1"/>
        <v>0.2</v>
      </c>
      <c r="D48" s="31">
        <f>SUMIFS(AllData!D:D, AllData!B:B, B48)</f>
        <v>12</v>
      </c>
      <c r="E48" s="31">
        <f>SUMIFS(AllData!C:C, AllData!B:B, B48)</f>
        <v>48</v>
      </c>
      <c r="F48" s="31">
        <f>SUMIFS(AllData!E:E, AllData!B:B, B48)</f>
        <v>1</v>
      </c>
      <c r="G48" s="31">
        <f>SUMIFS(AllData!F:F, AllData!B:B, B48)</f>
        <v>5</v>
      </c>
      <c r="H48" s="31">
        <f>SUMIFS(AllData!G:G, AllData!B:B, B48)</f>
        <v>0</v>
      </c>
      <c r="I48" s="31">
        <f>SUMIFS(AllData!H:H, AllData!B:B, B48)</f>
        <v>0</v>
      </c>
      <c r="J48" s="29">
        <v>0.0</v>
      </c>
      <c r="K48" s="31">
        <f>SUMIFS(AllData!I:I, AllData!B:B, B48)</f>
        <v>0</v>
      </c>
      <c r="L48" s="27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22.5" customHeight="1">
      <c r="A49" s="25"/>
      <c r="B49" s="29" t="s">
        <v>119</v>
      </c>
      <c r="C49" s="30">
        <f t="shared" si="1"/>
        <v>0.1944444444</v>
      </c>
      <c r="D49" s="31">
        <f>SUMIFS(AllData!D:D, AllData!B:B, B49)</f>
        <v>7</v>
      </c>
      <c r="E49" s="31">
        <f>SUMIFS(AllData!C:C, AllData!B:B, B49)</f>
        <v>29</v>
      </c>
      <c r="F49" s="31">
        <f>SUMIFS(AllData!E:E, AllData!B:B, B49)</f>
        <v>2</v>
      </c>
      <c r="G49" s="31">
        <f>SUMIFS(AllData!F:F, AllData!B:B, B49)</f>
        <v>0</v>
      </c>
      <c r="H49" s="31">
        <f>SUMIFS(AllData!G:G, AllData!B:B, B49)</f>
        <v>0</v>
      </c>
      <c r="I49" s="31">
        <f>SUMIFS(AllData!H:H, AllData!B:B, B49)</f>
        <v>0</v>
      </c>
      <c r="J49" s="29">
        <v>0.0</v>
      </c>
      <c r="K49" s="31">
        <f>SUMIFS(AllData!I:I, AllData!B:B, B49)</f>
        <v>0</v>
      </c>
      <c r="L49" s="27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22.5" customHeight="1">
      <c r="A50" s="25"/>
      <c r="B50" s="29" t="s">
        <v>120</v>
      </c>
      <c r="C50" s="30">
        <f t="shared" si="1"/>
        <v>0.1891891892</v>
      </c>
      <c r="D50" s="31">
        <f>SUMIFS(AllData!D:D, AllData!B:B, B50)</f>
        <v>7</v>
      </c>
      <c r="E50" s="31">
        <f>SUMIFS(AllData!C:C, AllData!B:B, B50)</f>
        <v>30</v>
      </c>
      <c r="F50" s="31">
        <f>SUMIFS(AllData!E:E, AllData!B:B, B50)</f>
        <v>1</v>
      </c>
      <c r="G50" s="31">
        <f>SUMIFS(AllData!F:F, AllData!B:B, B50)</f>
        <v>4</v>
      </c>
      <c r="H50" s="31">
        <f>SUMIFS(AllData!G:G, AllData!B:B, B50)</f>
        <v>0</v>
      </c>
      <c r="I50" s="31">
        <f>SUMIFS(AllData!H:H, AllData!B:B, B50)</f>
        <v>0</v>
      </c>
      <c r="J50" s="29">
        <v>0.0</v>
      </c>
      <c r="K50" s="31">
        <f>SUMIFS(AllData!I:I, AllData!B:B, B50)</f>
        <v>0</v>
      </c>
      <c r="L50" s="27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22.5" customHeight="1">
      <c r="A51" s="25"/>
      <c r="B51" s="29" t="s">
        <v>121</v>
      </c>
      <c r="C51" s="30">
        <f t="shared" si="1"/>
        <v>0.1866666667</v>
      </c>
      <c r="D51" s="31">
        <f>SUMIFS(AllData!D:D, AllData!B:B, B51)</f>
        <v>14</v>
      </c>
      <c r="E51" s="31">
        <f>SUMIFS(AllData!C:C, AllData!B:B, B51)</f>
        <v>61</v>
      </c>
      <c r="F51" s="31">
        <f>SUMIFS(AllData!E:E, AllData!B:B, B51)</f>
        <v>6</v>
      </c>
      <c r="G51" s="31">
        <f>SUMIFS(AllData!F:F, AllData!B:B, B51)</f>
        <v>1</v>
      </c>
      <c r="H51" s="31">
        <f>SUMIFS(AllData!G:G, AllData!B:B, B51)</f>
        <v>0</v>
      </c>
      <c r="I51" s="31">
        <f>SUMIFS(AllData!H:H, AllData!B:B, B51)</f>
        <v>0</v>
      </c>
      <c r="J51" s="29">
        <v>0.0</v>
      </c>
      <c r="K51" s="31">
        <f>SUMIFS(AllData!I:I, AllData!B:B, B51)</f>
        <v>0</v>
      </c>
      <c r="L51" s="27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22.5" customHeight="1">
      <c r="A52" s="25"/>
      <c r="B52" s="29" t="s">
        <v>122</v>
      </c>
      <c r="C52" s="30">
        <f t="shared" si="1"/>
        <v>0.1851851852</v>
      </c>
      <c r="D52" s="31">
        <f>SUMIFS(AllData!D:D, AllData!B:B, B52)</f>
        <v>20</v>
      </c>
      <c r="E52" s="31">
        <f>SUMIFS(AllData!C:C, AllData!B:B, B52)</f>
        <v>88</v>
      </c>
      <c r="F52" s="31">
        <f>SUMIFS(AllData!E:E, AllData!B:B, B52)</f>
        <v>1</v>
      </c>
      <c r="G52" s="31">
        <f>SUMIFS(AllData!F:F, AllData!B:B, B52)</f>
        <v>11</v>
      </c>
      <c r="H52" s="31">
        <f>SUMIFS(AllData!G:G, AllData!B:B, B52)</f>
        <v>0</v>
      </c>
      <c r="I52" s="31">
        <f>SUMIFS(AllData!H:H, AllData!B:B, B52)</f>
        <v>0</v>
      </c>
      <c r="J52" s="29">
        <v>0.0</v>
      </c>
      <c r="K52" s="31">
        <f>SUMIFS(AllData!I:I, AllData!B:B, B52)</f>
        <v>0</v>
      </c>
      <c r="L52" s="27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22.5" customHeight="1">
      <c r="A53" s="25"/>
      <c r="B53" s="29" t="s">
        <v>123</v>
      </c>
      <c r="C53" s="30">
        <f t="shared" si="1"/>
        <v>0.1842105263</v>
      </c>
      <c r="D53" s="31">
        <f>SUMIFS(AllData!D:D, AllData!B:B, B53)</f>
        <v>14</v>
      </c>
      <c r="E53" s="31">
        <f>SUMIFS(AllData!C:C, AllData!B:B, B53)</f>
        <v>62</v>
      </c>
      <c r="F53" s="31">
        <f>SUMIFS(AllData!E:E, AllData!B:B, B53)</f>
        <v>2</v>
      </c>
      <c r="G53" s="31">
        <f>SUMIFS(AllData!F:F, AllData!B:B, B53)</f>
        <v>8</v>
      </c>
      <c r="H53" s="31">
        <f>SUMIFS(AllData!G:G, AllData!B:B, B53)</f>
        <v>0</v>
      </c>
      <c r="I53" s="31">
        <f>SUMIFS(AllData!H:H, AllData!B:B, B53)</f>
        <v>0</v>
      </c>
      <c r="J53" s="29">
        <v>0.0</v>
      </c>
      <c r="K53" s="31">
        <f>SUMIFS(AllData!I:I, AllData!B:B, B53)</f>
        <v>0</v>
      </c>
      <c r="L53" s="27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22.5" customHeight="1">
      <c r="A54" s="25"/>
      <c r="B54" s="29" t="s">
        <v>124</v>
      </c>
      <c r="C54" s="30">
        <f t="shared" si="1"/>
        <v>0.1830985915</v>
      </c>
      <c r="D54" s="31">
        <f>SUMIFS(AllData!D:D, AllData!B:B, B54)</f>
        <v>13</v>
      </c>
      <c r="E54" s="31">
        <f>SUMIFS(AllData!C:C, AllData!B:B, B54)</f>
        <v>58</v>
      </c>
      <c r="F54" s="31">
        <f>SUMIFS(AllData!E:E, AllData!B:B, B54)</f>
        <v>2</v>
      </c>
      <c r="G54" s="31">
        <f>SUMIFS(AllData!F:F, AllData!B:B, B54)</f>
        <v>4</v>
      </c>
      <c r="H54" s="31">
        <f>SUMIFS(AllData!G:G, AllData!B:B, B54)</f>
        <v>0</v>
      </c>
      <c r="I54" s="31">
        <f>SUMIFS(AllData!H:H, AllData!B:B, B54)</f>
        <v>0</v>
      </c>
      <c r="J54" s="29">
        <v>0.0</v>
      </c>
      <c r="K54" s="31">
        <f>SUMIFS(AllData!I:I, AllData!B:B, B54)</f>
        <v>1</v>
      </c>
      <c r="L54" s="27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22.5" customHeight="1">
      <c r="A55" s="25"/>
      <c r="B55" s="29" t="s">
        <v>125</v>
      </c>
      <c r="C55" s="30">
        <f t="shared" si="1"/>
        <v>0.1818181818</v>
      </c>
      <c r="D55" s="31">
        <f>SUMIFS(AllData!D:D, AllData!B:B, B55)</f>
        <v>10</v>
      </c>
      <c r="E55" s="31">
        <f>SUMIFS(AllData!C:C, AllData!B:B, B55)</f>
        <v>45</v>
      </c>
      <c r="F55" s="31">
        <f>SUMIFS(AllData!E:E, AllData!B:B, B55)</f>
        <v>3</v>
      </c>
      <c r="G55" s="31">
        <f>SUMIFS(AllData!F:F, AllData!B:B, B55)</f>
        <v>3</v>
      </c>
      <c r="H55" s="31">
        <f>SUMIFS(AllData!G:G, AllData!B:B, B55)</f>
        <v>0</v>
      </c>
      <c r="I55" s="31">
        <f>SUMIFS(AllData!H:H, AllData!B:B, B55)</f>
        <v>0</v>
      </c>
      <c r="J55" s="29">
        <v>0.0</v>
      </c>
      <c r="K55" s="31">
        <f>SUMIFS(AllData!I:I, AllData!B:B, B55)</f>
        <v>0</v>
      </c>
      <c r="L55" s="27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22.5" customHeight="1">
      <c r="A56" s="25"/>
      <c r="B56" s="29" t="s">
        <v>126</v>
      </c>
      <c r="C56" s="30">
        <f t="shared" si="1"/>
        <v>0.1818181818</v>
      </c>
      <c r="D56" s="31">
        <f>SUMIFS(AllData!D:D, AllData!B:B, B56)</f>
        <v>6</v>
      </c>
      <c r="E56" s="31">
        <f>SUMIFS(AllData!C:C, AllData!B:B, B56)</f>
        <v>27</v>
      </c>
      <c r="F56" s="31">
        <f>SUMIFS(AllData!E:E, AllData!B:B, B56)</f>
        <v>2</v>
      </c>
      <c r="G56" s="31">
        <f>SUMIFS(AllData!F:F, AllData!B:B, B56)</f>
        <v>1</v>
      </c>
      <c r="H56" s="31">
        <f>SUMIFS(AllData!G:G, AllData!B:B, B56)</f>
        <v>1</v>
      </c>
      <c r="I56" s="31">
        <f>SUMIFS(AllData!H:H, AllData!B:B, B56)</f>
        <v>0</v>
      </c>
      <c r="J56" s="29">
        <v>0.0</v>
      </c>
      <c r="K56" s="31">
        <f>SUMIFS(AllData!I:I, AllData!B:B, B56)</f>
        <v>0</v>
      </c>
      <c r="L56" s="27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22.5" customHeight="1">
      <c r="A57" s="25"/>
      <c r="B57" s="29" t="s">
        <v>127</v>
      </c>
      <c r="C57" s="30">
        <f t="shared" si="1"/>
        <v>0.1780821918</v>
      </c>
      <c r="D57" s="31">
        <f>SUMIFS(AllData!D:D, AllData!B:B, B57)</f>
        <v>13</v>
      </c>
      <c r="E57" s="31">
        <f>SUMIFS(AllData!C:C, AllData!B:B, B57)</f>
        <v>60</v>
      </c>
      <c r="F57" s="31">
        <f>SUMIFS(AllData!E:E, AllData!B:B, B57)</f>
        <v>0</v>
      </c>
      <c r="G57" s="31">
        <f>SUMIFS(AllData!F:F, AllData!B:B, B57)</f>
        <v>9</v>
      </c>
      <c r="H57" s="31">
        <f>SUMIFS(AllData!G:G, AllData!B:B, B57)</f>
        <v>0</v>
      </c>
      <c r="I57" s="31">
        <f>SUMIFS(AllData!H:H, AllData!B:B, B57)</f>
        <v>0</v>
      </c>
      <c r="J57" s="29">
        <v>0.0</v>
      </c>
      <c r="K57" s="31">
        <f>SUMIFS(AllData!I:I, AllData!B:B, B57)</f>
        <v>0</v>
      </c>
      <c r="L57" s="27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22.5" customHeight="1">
      <c r="A58" s="25"/>
      <c r="B58" s="29" t="s">
        <v>128</v>
      </c>
      <c r="C58" s="30">
        <f t="shared" si="1"/>
        <v>0.1775700935</v>
      </c>
      <c r="D58" s="31">
        <f>SUMIFS(AllData!D:D, AllData!B:B, B58)</f>
        <v>19</v>
      </c>
      <c r="E58" s="31">
        <f>SUMIFS(AllData!C:C, AllData!B:B, B58)</f>
        <v>88</v>
      </c>
      <c r="F58" s="31">
        <f>SUMIFS(AllData!E:E, AllData!B:B, B58)</f>
        <v>0</v>
      </c>
      <c r="G58" s="31">
        <f>SUMIFS(AllData!F:F, AllData!B:B, B58)</f>
        <v>5</v>
      </c>
      <c r="H58" s="31">
        <f>SUMIFS(AllData!G:G, AllData!B:B, B58)</f>
        <v>0</v>
      </c>
      <c r="I58" s="31">
        <f>SUMIFS(AllData!H:H, AllData!B:B, B58)</f>
        <v>0</v>
      </c>
      <c r="J58" s="29">
        <v>0.0</v>
      </c>
      <c r="K58" s="31">
        <f>SUMIFS(AllData!I:I, AllData!B:B, B58)</f>
        <v>0</v>
      </c>
      <c r="L58" s="27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22.5" customHeight="1">
      <c r="A59" s="25"/>
      <c r="B59" s="29" t="s">
        <v>129</v>
      </c>
      <c r="C59" s="30">
        <f t="shared" si="1"/>
        <v>0.17</v>
      </c>
      <c r="D59" s="31">
        <f>SUMIFS(AllData!D:D, AllData!B:B, B59)</f>
        <v>17</v>
      </c>
      <c r="E59" s="31">
        <f>SUMIFS(AllData!C:C, AllData!B:B, B59)</f>
        <v>83</v>
      </c>
      <c r="F59" s="31">
        <f>SUMIFS(AllData!E:E, AllData!B:B, B59)</f>
        <v>0</v>
      </c>
      <c r="G59" s="31">
        <f>SUMIFS(AllData!F:F, AllData!B:B, B59)</f>
        <v>7</v>
      </c>
      <c r="H59" s="31">
        <f>SUMIFS(AllData!G:G, AllData!B:B, B59)</f>
        <v>0</v>
      </c>
      <c r="I59" s="31">
        <f>SUMIFS(AllData!H:H, AllData!B:B, B59)</f>
        <v>0</v>
      </c>
      <c r="J59" s="29">
        <v>0.0</v>
      </c>
      <c r="K59" s="31">
        <f>SUMIFS(AllData!I:I, AllData!B:B, B59)</f>
        <v>0</v>
      </c>
      <c r="L59" s="27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22.5" customHeight="1">
      <c r="A60" s="25"/>
      <c r="B60" s="29" t="s">
        <v>130</v>
      </c>
      <c r="C60" s="30">
        <f t="shared" si="1"/>
        <v>0.17</v>
      </c>
      <c r="D60" s="31">
        <f>SUMIFS(AllData!D:D, AllData!B:B, B60)</f>
        <v>17</v>
      </c>
      <c r="E60" s="31">
        <f>SUMIFS(AllData!C:C, AllData!B:B, B60)</f>
        <v>83</v>
      </c>
      <c r="F60" s="31">
        <f>SUMIFS(AllData!E:E, AllData!B:B, B60)</f>
        <v>1</v>
      </c>
      <c r="G60" s="31">
        <f>SUMIFS(AllData!F:F, AllData!B:B, B60)</f>
        <v>4</v>
      </c>
      <c r="H60" s="31">
        <f>SUMIFS(AllData!G:G, AllData!B:B, B60)</f>
        <v>0</v>
      </c>
      <c r="I60" s="31">
        <f>SUMIFS(AllData!H:H, AllData!B:B, B60)</f>
        <v>0</v>
      </c>
      <c r="J60" s="29">
        <v>0.0</v>
      </c>
      <c r="K60" s="31">
        <f>SUMIFS(AllData!I:I, AllData!B:B, B60)</f>
        <v>0</v>
      </c>
      <c r="L60" s="27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22.5" customHeight="1">
      <c r="A61" s="25"/>
      <c r="B61" s="29" t="s">
        <v>131</v>
      </c>
      <c r="C61" s="30">
        <f t="shared" si="1"/>
        <v>0.1666666667</v>
      </c>
      <c r="D61" s="31">
        <f>SUMIFS(AllData!D:D, AllData!B:B, B61)</f>
        <v>10</v>
      </c>
      <c r="E61" s="31">
        <f>SUMIFS(AllData!C:C, AllData!B:B, B61)</f>
        <v>50</v>
      </c>
      <c r="F61" s="31">
        <f>SUMIFS(AllData!E:E, AllData!B:B, B61)</f>
        <v>2</v>
      </c>
      <c r="G61" s="31">
        <f>SUMIFS(AllData!F:F, AllData!B:B, B61)</f>
        <v>4</v>
      </c>
      <c r="H61" s="31">
        <f>SUMIFS(AllData!G:G, AllData!B:B, B61)</f>
        <v>0</v>
      </c>
      <c r="I61" s="31">
        <f>SUMIFS(AllData!H:H, AllData!B:B, B61)</f>
        <v>0</v>
      </c>
      <c r="J61" s="29">
        <v>0.0</v>
      </c>
      <c r="K61" s="31">
        <f>SUMIFS(AllData!I:I, AllData!B:B, B61)</f>
        <v>0</v>
      </c>
      <c r="L61" s="27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22.5" customHeight="1">
      <c r="A62" s="25"/>
      <c r="B62" s="29" t="s">
        <v>132</v>
      </c>
      <c r="C62" s="30">
        <f t="shared" si="1"/>
        <v>0.1639344262</v>
      </c>
      <c r="D62" s="31">
        <f>SUMIFS(AllData!D:D, AllData!B:B, B62)</f>
        <v>10</v>
      </c>
      <c r="E62" s="31">
        <f>SUMIFS(AllData!C:C, AllData!B:B, B62)</f>
        <v>51</v>
      </c>
      <c r="F62" s="31">
        <f>SUMIFS(AllData!E:E, AllData!B:B, B62)</f>
        <v>1</v>
      </c>
      <c r="G62" s="31">
        <f>SUMIFS(AllData!F:F, AllData!B:B, B62)</f>
        <v>4</v>
      </c>
      <c r="H62" s="31">
        <f>SUMIFS(AllData!G:G, AllData!B:B, B62)</f>
        <v>1</v>
      </c>
      <c r="I62" s="31">
        <f>SUMIFS(AllData!H:H, AllData!B:B, B62)</f>
        <v>0</v>
      </c>
      <c r="J62" s="29">
        <v>0.0</v>
      </c>
      <c r="K62" s="31">
        <f>SUMIFS(AllData!I:I, AllData!B:B, B62)</f>
        <v>0</v>
      </c>
      <c r="L62" s="27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22.5" customHeight="1">
      <c r="A63" s="25"/>
      <c r="B63" s="29" t="s">
        <v>133</v>
      </c>
      <c r="C63" s="30">
        <f t="shared" si="1"/>
        <v>0.1518987342</v>
      </c>
      <c r="D63" s="31">
        <f>SUMIFS(AllData!D:D, AllData!B:B, B63)</f>
        <v>12</v>
      </c>
      <c r="E63" s="31">
        <f>SUMIFS(AllData!C:C, AllData!B:B, B63)</f>
        <v>67</v>
      </c>
      <c r="F63" s="31">
        <f>SUMIFS(AllData!E:E, AllData!B:B, B63)</f>
        <v>1</v>
      </c>
      <c r="G63" s="31">
        <f>SUMIFS(AllData!F:F, AllData!B:B, B63)</f>
        <v>5</v>
      </c>
      <c r="H63" s="31">
        <f>SUMIFS(AllData!G:G, AllData!B:B, B63)</f>
        <v>0</v>
      </c>
      <c r="I63" s="31">
        <f>SUMIFS(AllData!H:H, AllData!B:B, B63)</f>
        <v>0</v>
      </c>
      <c r="J63" s="29">
        <v>0.0</v>
      </c>
      <c r="K63" s="31">
        <f>SUMIFS(AllData!I:I, AllData!B:B, B63)</f>
        <v>0</v>
      </c>
      <c r="L63" s="27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22.5" customHeight="1">
      <c r="A64" s="25"/>
      <c r="B64" s="29" t="s">
        <v>134</v>
      </c>
      <c r="C64" s="30">
        <f t="shared" si="1"/>
        <v>0.1454545455</v>
      </c>
      <c r="D64" s="31">
        <f>SUMIFS(AllData!D:D, AllData!B:B, B64)</f>
        <v>8</v>
      </c>
      <c r="E64" s="31">
        <f>SUMIFS(AllData!C:C, AllData!B:B, B64)</f>
        <v>47</v>
      </c>
      <c r="F64" s="31">
        <f>SUMIFS(AllData!E:E, AllData!B:B, B64)</f>
        <v>3</v>
      </c>
      <c r="G64" s="31">
        <f>SUMIFS(AllData!F:F, AllData!B:B, B64)</f>
        <v>7</v>
      </c>
      <c r="H64" s="31">
        <f>SUMIFS(AllData!G:G, AllData!B:B, B64)</f>
        <v>0</v>
      </c>
      <c r="I64" s="31">
        <f>SUMIFS(AllData!H:H, AllData!B:B, B64)</f>
        <v>0</v>
      </c>
      <c r="J64" s="29">
        <v>0.0</v>
      </c>
      <c r="K64" s="31">
        <f>SUMIFS(AllData!I:I, AllData!B:B, B64)</f>
        <v>0</v>
      </c>
      <c r="L64" s="27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22.5" customHeight="1">
      <c r="A65" s="25"/>
      <c r="B65" s="29" t="s">
        <v>135</v>
      </c>
      <c r="C65" s="30">
        <f t="shared" si="1"/>
        <v>0.1428571429</v>
      </c>
      <c r="D65" s="31">
        <f>SUMIFS(AllData!D:D, AllData!B:B, B65)</f>
        <v>5</v>
      </c>
      <c r="E65" s="31">
        <f>SUMIFS(AllData!C:C, AllData!B:B, B65)</f>
        <v>30</v>
      </c>
      <c r="F65" s="31">
        <f>SUMIFS(AllData!E:E, AllData!B:B, B65)</f>
        <v>1</v>
      </c>
      <c r="G65" s="31">
        <f>SUMIFS(AllData!F:F, AllData!B:B, B65)</f>
        <v>2</v>
      </c>
      <c r="H65" s="31">
        <f>SUMIFS(AllData!G:G, AllData!B:B, B65)</f>
        <v>1</v>
      </c>
      <c r="I65" s="31">
        <f>SUMIFS(AllData!H:H, AllData!B:B, B65)</f>
        <v>0</v>
      </c>
      <c r="J65" s="29">
        <v>0.0</v>
      </c>
      <c r="K65" s="31">
        <f>SUMIFS(AllData!I:I, AllData!B:B, B65)</f>
        <v>0</v>
      </c>
      <c r="L65" s="27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22.5" customHeight="1">
      <c r="A66" s="25"/>
      <c r="B66" s="29" t="s">
        <v>136</v>
      </c>
      <c r="C66" s="30">
        <f t="shared" si="1"/>
        <v>0.1232876712</v>
      </c>
      <c r="D66" s="31">
        <f>SUMIFS(AllData!D:D, AllData!B:B, B66)</f>
        <v>9</v>
      </c>
      <c r="E66" s="31">
        <f>SUMIFS(AllData!C:C, AllData!B:B, B66)</f>
        <v>64</v>
      </c>
      <c r="F66" s="31">
        <f>SUMIFS(AllData!E:E, AllData!B:B, B66)</f>
        <v>2</v>
      </c>
      <c r="G66" s="31">
        <f>SUMIFS(AllData!F:F, AllData!B:B, B66)</f>
        <v>3</v>
      </c>
      <c r="H66" s="31">
        <f>SUMIFS(AllData!G:G, AllData!B:B, B66)</f>
        <v>0</v>
      </c>
      <c r="I66" s="31">
        <f>SUMIFS(AllData!H:H, AllData!B:B, B66)</f>
        <v>0</v>
      </c>
      <c r="J66" s="29">
        <v>0.0</v>
      </c>
      <c r="K66" s="31">
        <f>SUMIFS(AllData!I:I, AllData!B:B, B66)</f>
        <v>1</v>
      </c>
      <c r="L66" s="27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22.5" customHeight="1">
      <c r="A67" s="25"/>
      <c r="B67" s="29" t="s">
        <v>137</v>
      </c>
      <c r="C67" s="30">
        <f t="shared" si="1"/>
        <v>0.08333333333</v>
      </c>
      <c r="D67" s="31">
        <f>SUMIFS(AllData!D:D, AllData!B:B, B67)</f>
        <v>4</v>
      </c>
      <c r="E67" s="31">
        <f>SUMIFS(AllData!C:C, AllData!B:B, B67)</f>
        <v>44</v>
      </c>
      <c r="F67" s="31">
        <f>SUMIFS(AllData!E:E, AllData!B:B, B67)</f>
        <v>4</v>
      </c>
      <c r="G67" s="31">
        <f>SUMIFS(AllData!F:F, AllData!B:B, B67)</f>
        <v>5</v>
      </c>
      <c r="H67" s="31">
        <f>SUMIFS(AllData!G:G, AllData!B:B, B67)</f>
        <v>0</v>
      </c>
      <c r="I67" s="31">
        <f>SUMIFS(AllData!H:H, AllData!B:B, B67)</f>
        <v>0</v>
      </c>
      <c r="J67" s="29">
        <v>0.0</v>
      </c>
      <c r="K67" s="31">
        <f>SUMIFS(AllData!I:I, AllData!B:B, B67)</f>
        <v>0</v>
      </c>
      <c r="L67" s="27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22.5" customHeight="1">
      <c r="A68" s="25"/>
      <c r="B68" s="29"/>
      <c r="C68" s="30"/>
      <c r="D68" s="31"/>
      <c r="E68" s="31"/>
      <c r="F68" s="31"/>
      <c r="G68" s="31"/>
      <c r="H68" s="31"/>
      <c r="I68" s="31"/>
      <c r="J68" s="29"/>
      <c r="K68" s="31"/>
      <c r="L68" s="27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22.5" customHeight="1">
      <c r="A69" s="25"/>
      <c r="B69" s="31"/>
      <c r="C69" s="30"/>
      <c r="D69" s="31"/>
      <c r="E69" s="31"/>
      <c r="F69" s="31"/>
      <c r="G69" s="31"/>
      <c r="H69" s="31"/>
      <c r="I69" s="31"/>
      <c r="J69" s="29"/>
      <c r="K69" s="31"/>
      <c r="L69" s="27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22.5" customHeight="1">
      <c r="A70" s="25"/>
      <c r="B70" s="31"/>
      <c r="C70" s="30"/>
      <c r="D70" s="31"/>
      <c r="E70" s="31"/>
      <c r="F70" s="31"/>
      <c r="G70" s="31"/>
      <c r="H70" s="31"/>
      <c r="I70" s="31"/>
      <c r="J70" s="29"/>
      <c r="K70" s="31"/>
      <c r="L70" s="27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22.5" customHeight="1">
      <c r="A71" s="25"/>
      <c r="B71" s="31"/>
      <c r="C71" s="30"/>
      <c r="D71" s="31"/>
      <c r="E71" s="31"/>
      <c r="F71" s="31"/>
      <c r="G71" s="31"/>
      <c r="H71" s="31"/>
      <c r="I71" s="31"/>
      <c r="J71" s="29"/>
      <c r="K71" s="31"/>
      <c r="L71" s="27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22.5" customHeight="1">
      <c r="A72" s="25"/>
      <c r="B72" s="31"/>
      <c r="C72" s="30"/>
      <c r="D72" s="31"/>
      <c r="E72" s="31"/>
      <c r="F72" s="31"/>
      <c r="G72" s="31"/>
      <c r="H72" s="31"/>
      <c r="I72" s="31"/>
      <c r="J72" s="29"/>
      <c r="K72" s="31"/>
      <c r="L72" s="27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32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</sheetData>
  <dataValidations>
    <dataValidation type="custom" allowBlank="1" showDropDown="1" sqref="C3:C72">
      <formula1>AND(ISNUMBER(C3),(NOT(OR(NOT(ISERROR(DATEVALUE(C3))), AND(ISNUMBER(C3), LEFT(CELL("format", C3))="D")))))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5"/>
    <col customWidth="1" min="2" max="2" width="23.5"/>
    <col customWidth="1" min="3" max="3" width="17.13"/>
    <col customWidth="1" min="4" max="6" width="14.5"/>
    <col customWidth="1" min="7" max="11" width="10.13"/>
    <col customWidth="1" min="12" max="12" width="4.0"/>
  </cols>
  <sheetData>
    <row r="1" ht="16.5" customHeight="1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ht="20.25" customHeight="1">
      <c r="A2" s="25"/>
      <c r="B2" s="26" t="s">
        <v>138</v>
      </c>
      <c r="C2" s="26" t="s">
        <v>64</v>
      </c>
      <c r="D2" s="26" t="s">
        <v>65</v>
      </c>
      <c r="E2" s="26" t="s">
        <v>66</v>
      </c>
      <c r="F2" s="26" t="s">
        <v>67</v>
      </c>
      <c r="G2" s="26" t="s">
        <v>68</v>
      </c>
      <c r="H2" s="26" t="s">
        <v>69</v>
      </c>
      <c r="I2" s="26" t="s">
        <v>70</v>
      </c>
      <c r="J2" s="26" t="s">
        <v>71</v>
      </c>
      <c r="K2" s="26" t="s">
        <v>72</v>
      </c>
      <c r="L2" s="27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ht="31.5" customHeight="1">
      <c r="A3" s="28"/>
      <c r="B3" s="35" t="s">
        <v>139</v>
      </c>
      <c r="C3" s="36">
        <f t="shared" ref="C3:C34" si="1">IFERROR((D3/(D3+E3)),0)</f>
        <v>0.3363636364</v>
      </c>
      <c r="D3" s="37">
        <f>sumif('Season Stats'!$B$3:$B$66,"Charlie Truesdale",'Season Stats'!D$3:D$66)+sumif('Season Stats'!$B$3:$B$66, "Evan Sarchio",'Season Stats'!D$3:D$66)</f>
        <v>37</v>
      </c>
      <c r="E3" s="37">
        <f>sumif('Season Stats'!$B$3:$B$66,"Charlie Truesdale",'Season Stats'!E$3:E$66)+sumif('Season Stats'!$B$3:$B$66, "Evan Sarchio",'Season Stats'!E$3:E$66)</f>
        <v>73</v>
      </c>
      <c r="F3" s="37">
        <f>sumif('Season Stats'!$B$3:$B$66,"Charlie Truesdale",'Season Stats'!F$3:F$66)+sumif('Season Stats'!$B$3:$B$66, "Evan Sarchio",'Season Stats'!F$3:F$66)</f>
        <v>5</v>
      </c>
      <c r="G3" s="37">
        <f>sumif('Season Stats'!$B$3:$B$66,"Charlie Truesdale",'Season Stats'!G$3:G$66)+sumif('Season Stats'!$B$3:$B$66, "Evan Sarchio",'Season Stats'!G$3:G$66)</f>
        <v>3</v>
      </c>
      <c r="H3" s="37">
        <f>sumif('Season Stats'!$B$3:$B$66,"Charlie Truesdale",'Season Stats'!H$3:H$66)+sumif('Season Stats'!$B$3:$B$66, "Evan Sarchio",'Season Stats'!H$3:H$66)</f>
        <v>0</v>
      </c>
      <c r="I3" s="37">
        <f>sumif('Season Stats'!$B$3:$B$66,"Charlie Truesdale",'Season Stats'!I$3:I$66)+sumif('Season Stats'!$B$3:$B$66, "Evan Sarchio",'Season Stats'!I$3:I$66)</f>
        <v>0</v>
      </c>
      <c r="J3" s="37">
        <f>sumif('Season Stats'!$B$3:$B$66,"Charlie Truesdale",'Season Stats'!J$3:J$66)+sumif('Season Stats'!$B$3:$B$66, "Evan Sarchio",'Season Stats'!J$3:J$66)</f>
        <v>0</v>
      </c>
      <c r="K3" s="37">
        <f>sumif('Season Stats'!$B$3:$B$66,"Charlie Truesdale",'Season Stats'!K$3:K$66)+sumif('Season Stats'!$B$3:$B$66, "Evan Sarchio",'Season Stats'!K$3:K$66)</f>
        <v>0</v>
      </c>
      <c r="L3" s="27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ht="31.5" customHeight="1">
      <c r="A4" s="25"/>
      <c r="B4" s="35" t="s">
        <v>40</v>
      </c>
      <c r="C4" s="36">
        <f t="shared" si="1"/>
        <v>0.3333333333</v>
      </c>
      <c r="D4" s="37">
        <f>sumif('Season Stats'!$B$3:$B$66,"Gabriel Blumenschein",'Season Stats'!D$3:D$66)+sumif('Season Stats'!$B$3:$B$66, "Joe Raza",'Season Stats'!D$3:D$66)</f>
        <v>26</v>
      </c>
      <c r="E4" s="37">
        <f>sumif('Season Stats'!$B$3:$B$66,"Gabriel Blumenschein",'Season Stats'!E$3:E$66)+sumif('Season Stats'!$B$3:$B$66, "Joe Raza",'Season Stats'!E$3:E$66)</f>
        <v>52</v>
      </c>
      <c r="F4" s="37">
        <f>sumif('Season Stats'!$B$3:$B$66,"Gabriel Blumenschein",'Season Stats'!F$3:F$66)+sumif('Season Stats'!$B$3:$B$66, "Joe Raza",'Season Stats'!F$3:F$66)</f>
        <v>1</v>
      </c>
      <c r="G4" s="37">
        <f>sumif('Season Stats'!$B$3:$B$66,"Gabriel Blumenschein",'Season Stats'!G$3:G$66)+sumif('Season Stats'!$B$3:$B$66, "Joe Raza",'Season Stats'!G$3:G$66)</f>
        <v>7</v>
      </c>
      <c r="H4" s="37">
        <f>sumif('Season Stats'!$B$3:$B$66,"Gabriel Blumenschein",'Season Stats'!H$3:H$66)+sumif('Season Stats'!$B$3:$B$66, "Joe Raza",'Season Stats'!H$3:H$66)</f>
        <v>1</v>
      </c>
      <c r="I4" s="37">
        <f>sumif('Season Stats'!$B$3:$B$66,"Gabriel Blumenschein",'Season Stats'!I$3:I$66)+sumif('Season Stats'!$B$3:$B$66, "Joe Raza",'Season Stats'!I$3:I$66)</f>
        <v>0</v>
      </c>
      <c r="J4" s="37">
        <f>sumif('Season Stats'!$B$3:$B$66,"Gabriel Blumenschein",'Season Stats'!J$3:J$66)+sumif('Season Stats'!$B$3:$B$66, "Joe Raza",'Season Stats'!J$3:J$66)</f>
        <v>0</v>
      </c>
      <c r="K4" s="37">
        <f>sumif('Season Stats'!$B$3:$B$66,"Gabriel Blumenschein",'Season Stats'!K$3:K$66)+sumif('Season Stats'!$B$3:$B$66, "Joe Raza",'Season Stats'!K$3:K$66)</f>
        <v>0</v>
      </c>
      <c r="L4" s="27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ht="31.5" customHeight="1">
      <c r="A5" s="25"/>
      <c r="B5" s="35" t="s">
        <v>54</v>
      </c>
      <c r="C5" s="36">
        <f t="shared" si="1"/>
        <v>0.3285714286</v>
      </c>
      <c r="D5" s="37">
        <f>sumif('Season Stats'!$B$3:$B$66,"Luke Brandon",'Season Stats'!D$3:D$66)+sumif('Season Stats'!$B$3:$B$66, "Heath Lawry",'Season Stats'!D$3:D$66)</f>
        <v>46</v>
      </c>
      <c r="E5" s="37">
        <f>sumif('Season Stats'!$B$3:$B$66,"Luke Brandon",'Season Stats'!E$3:E$66)+sumif('Season Stats'!$B$3:$B$66, "Heath Lawry",'Season Stats'!E$3:E$66)</f>
        <v>94</v>
      </c>
      <c r="F5" s="37">
        <f>sumif('Season Stats'!$B$3:$B$66,"Luke Brandon",'Season Stats'!F$3:F$66)+sumif('Season Stats'!$B$3:$B$66, "Heath Lawry",'Season Stats'!F$3:F$66)</f>
        <v>7</v>
      </c>
      <c r="G5" s="37">
        <f>sumif('Season Stats'!$B$3:$B$66,"Luke Brandon",'Season Stats'!G$3:G$66)+sumif('Season Stats'!$B$3:$B$66, "Heath Lawry",'Season Stats'!G$3:G$66)</f>
        <v>5</v>
      </c>
      <c r="H5" s="37">
        <f>sumif('Season Stats'!$B$3:$B$66,"Luke Brandon",'Season Stats'!H$3:H$66)+sumif('Season Stats'!$B$3:$B$66, "Heath Lawry",'Season Stats'!H$3:H$66)</f>
        <v>1</v>
      </c>
      <c r="I5" s="37">
        <f>sumif('Season Stats'!$B$3:$B$66,"Luke Brandon",'Season Stats'!I$3:I$66)+sumif('Season Stats'!$B$3:$B$66, "Heath Lawry",'Season Stats'!I$3:I$66)</f>
        <v>0</v>
      </c>
      <c r="J5" s="37">
        <f>sumif('Season Stats'!$B$3:$B$66,"Luke Brandon",'Season Stats'!J$3:J$66)+sumif('Season Stats'!$B$3:$B$66, "Heath Lawry",'Season Stats'!J$3:J$66)</f>
        <v>0</v>
      </c>
      <c r="K5" s="37">
        <f>sumif('Season Stats'!$B$3:$B$66,"Luke Brandon",'Season Stats'!K$3:K$66)+sumif('Season Stats'!$B$3:$B$66, "Heath Lawry",'Season Stats'!K$3:K$66)</f>
        <v>0</v>
      </c>
      <c r="L5" s="27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ht="31.5" customHeight="1">
      <c r="A6" s="25"/>
      <c r="B6" s="35" t="s">
        <v>57</v>
      </c>
      <c r="C6" s="36">
        <f t="shared" si="1"/>
        <v>0.3134328358</v>
      </c>
      <c r="D6" s="37">
        <f>sumif('Season Stats'!$B$3:$B$66,"Max Creditor",'Season Stats'!D$3:D$66)+sumif('Season Stats'!$B$3:$B$66, "Charlie King",'Season Stats'!D$3:D$66)</f>
        <v>21</v>
      </c>
      <c r="E6" s="37">
        <f>sumif('Season Stats'!$B$3:$B$66,"Max Creditor",'Season Stats'!E$3:E$66)+sumif('Season Stats'!$B$3:$B$66, "Charlie King",'Season Stats'!E$3:E$66)</f>
        <v>46</v>
      </c>
      <c r="F6" s="37">
        <f>sumif('Season Stats'!$B$3:$B$66,"Max Creditor",'Season Stats'!F$3:F$66)+sumif('Season Stats'!$B$3:$B$66, "Charlie King",'Season Stats'!F$3:F$66)</f>
        <v>6</v>
      </c>
      <c r="G6" s="37">
        <f>sumif('Season Stats'!$B$3:$B$66,"Max Creditor",'Season Stats'!G$3:G$66)+sumif('Season Stats'!$B$3:$B$66, "Charlie King",'Season Stats'!G$3:G$66)</f>
        <v>1</v>
      </c>
      <c r="H6" s="37">
        <f>sumif('Season Stats'!$B$3:$B$66,"Max Creditor",'Season Stats'!H$3:H$66)+sumif('Season Stats'!$B$3:$B$66, "Charlie King",'Season Stats'!H$3:H$66)</f>
        <v>0</v>
      </c>
      <c r="I6" s="37">
        <f>sumif('Season Stats'!$B$3:$B$66,"Max Creditor",'Season Stats'!I$3:I$66)+sumif('Season Stats'!$B$3:$B$66, "Charlie King",'Season Stats'!I$3:I$66)</f>
        <v>0</v>
      </c>
      <c r="J6" s="37">
        <f>sumif('Season Stats'!$B$3:$B$66,"Max Creditor",'Season Stats'!J$3:J$66)+sumif('Season Stats'!$B$3:$B$66, "Charlie King",'Season Stats'!J$3:J$66)</f>
        <v>0</v>
      </c>
      <c r="K6" s="37">
        <f>sumif('Season Stats'!$B$3:$B$66,"Max Creditor",'Season Stats'!K$3:K$66)+sumif('Season Stats'!$B$3:$B$66, "Charlie King",'Season Stats'!K$3:K$66)</f>
        <v>1</v>
      </c>
      <c r="L6" s="27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ht="31.5" customHeight="1">
      <c r="A7" s="25"/>
      <c r="B7" s="35" t="s">
        <v>60</v>
      </c>
      <c r="C7" s="36">
        <f t="shared" si="1"/>
        <v>0.2903225806</v>
      </c>
      <c r="D7" s="37">
        <f>sumif('Season Stats'!$B$3:$B$66,"Shawnak Shenoy",'Season Stats'!D$3:D$66)+sumif('Season Stats'!$B$3:$B$66, "Mackie Wallwork",'Season Stats'!D$3:D$66)</f>
        <v>18</v>
      </c>
      <c r="E7" s="37">
        <f>sumif('Season Stats'!$B$3:$B$66,"Shawnak Shenoy",'Season Stats'!E$3:E$66)+sumif('Season Stats'!$B$3:$B$66, "Mackie Wallwork",'Season Stats'!E$3:E$66)</f>
        <v>44</v>
      </c>
      <c r="F7" s="37">
        <f>sumif('Season Stats'!$B$3:$B$66,"Shawnak Shenoy",'Season Stats'!F$3:F$66)+sumif('Season Stats'!$B$3:$B$66, "Mackie Wallwork",'Season Stats'!F$3:F$66)</f>
        <v>1</v>
      </c>
      <c r="G7" s="37">
        <f>sumif('Season Stats'!$B$3:$B$66,"Shawnak Shenoy",'Season Stats'!G$3:G$66)+sumif('Season Stats'!$B$3:$B$66, "Mackie Wallwork",'Season Stats'!G$3:G$66)</f>
        <v>2</v>
      </c>
      <c r="H7" s="37">
        <f>sumif('Season Stats'!$B$3:$B$66,"Shawnak Shenoy",'Season Stats'!H$3:H$66)+sumif('Season Stats'!$B$3:$B$66, "Mackie Wallwork",'Season Stats'!H$3:H$66)</f>
        <v>0</v>
      </c>
      <c r="I7" s="37">
        <f>sumif('Season Stats'!$B$3:$B$66,"Shawnak Shenoy",'Season Stats'!I$3:I$66)+sumif('Season Stats'!$B$3:$B$66, "Mackie Wallwork",'Season Stats'!I$3:I$66)</f>
        <v>0</v>
      </c>
      <c r="J7" s="37">
        <f>sumif('Season Stats'!$B$3:$B$66,"Shawnak Shenoy",'Season Stats'!J$3:J$66)+sumif('Season Stats'!$B$3:$B$66, "Mackie Wallwork",'Season Stats'!J$3:J$66)</f>
        <v>0</v>
      </c>
      <c r="K7" s="37">
        <f>sumif('Season Stats'!$B$3:$B$66,"Shawnak Shenoy",'Season Stats'!K$3:K$66)+sumif('Season Stats'!$B$3:$B$66, "Mackie Wallwork",'Season Stats'!K$3:K$66)</f>
        <v>0</v>
      </c>
      <c r="L7" s="27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ht="31.5" customHeight="1">
      <c r="A8" s="25"/>
      <c r="B8" s="35" t="s">
        <v>55</v>
      </c>
      <c r="C8" s="36">
        <f t="shared" si="1"/>
        <v>0.2875</v>
      </c>
      <c r="D8" s="37">
        <f>sumif('Season Stats'!$B$3:$B$66,"Will Creamer",'Season Stats'!D$3:D$66)+sumif('Season Stats'!$B$3:$B$66, "Hudson Stolz",'Season Stats'!D$3:D$66)</f>
        <v>46</v>
      </c>
      <c r="E8" s="37">
        <f>sumif('Season Stats'!$B$3:$B$66,"Will Creamer",'Season Stats'!E$3:E$66)+sumif('Season Stats'!$B$3:$B$66, "Hudson Stolz",'Season Stats'!E$3:E$66)</f>
        <v>114</v>
      </c>
      <c r="F8" s="37">
        <f>sumif('Season Stats'!$B$3:$B$66,"Will Creamer",'Season Stats'!F$3:F$66)+sumif('Season Stats'!$B$3:$B$66, "Hudson Stolz",'Season Stats'!F$3:F$66)</f>
        <v>5</v>
      </c>
      <c r="G8" s="37">
        <f>sumif('Season Stats'!$B$3:$B$66,"Will Creamer",'Season Stats'!G$3:G$66)+sumif('Season Stats'!$B$3:$B$66, "Hudson Stolz",'Season Stats'!G$3:G$66)</f>
        <v>11</v>
      </c>
      <c r="H8" s="37">
        <f>sumif('Season Stats'!$B$3:$B$66,"Will Creamer",'Season Stats'!H$3:H$66)+sumif('Season Stats'!$B$3:$B$66, "Hudson Stolz",'Season Stats'!H$3:H$66)</f>
        <v>1</v>
      </c>
      <c r="I8" s="37">
        <f>sumif('Season Stats'!$B$3:$B$66,"Will Creamer",'Season Stats'!I$3:I$66)+sumif('Season Stats'!$B$3:$B$66, "Hudson Stolz",'Season Stats'!I$3:I$66)</f>
        <v>0</v>
      </c>
      <c r="J8" s="37">
        <f>sumif('Season Stats'!$B$3:$B$66,"Will Creamer",'Season Stats'!J$3:J$66)+sumif('Season Stats'!$B$3:$B$66, "Hudson Stolz",'Season Stats'!J$3:J$66)</f>
        <v>0</v>
      </c>
      <c r="K8" s="37">
        <f>sumif('Season Stats'!$B$3:$B$66,"Will Creamer",'Season Stats'!K$3:K$66)+sumif('Season Stats'!$B$3:$B$66, "Hudson Stolz",'Season Stats'!K$3:K$66)</f>
        <v>0</v>
      </c>
      <c r="L8" s="27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ht="31.5" customHeight="1">
      <c r="A9" s="25"/>
      <c r="B9" s="35" t="s">
        <v>140</v>
      </c>
      <c r="C9" s="36">
        <f t="shared" si="1"/>
        <v>0.2872340426</v>
      </c>
      <c r="D9" s="37">
        <f>sumif('Season Stats'!$B$3:$B$66,"Matt Schreder",'Season Stats'!D$3:D$66)+sumif('Season Stats'!$B$3:$B$66, "Dylan and Matian",'Season Stats'!D$3:D$66)</f>
        <v>27</v>
      </c>
      <c r="E9" s="37">
        <f>sumif('Season Stats'!$B$3:$B$66,"Matt Schreder",'Season Stats'!E$3:E$66)+sumif('Season Stats'!$B$3:$B$66, "Dylan and Matian",'Season Stats'!E$3:E$66)</f>
        <v>67</v>
      </c>
      <c r="F9" s="37">
        <f>sumif('Season Stats'!$B$3:$B$66,"Matt Schreder",'Season Stats'!F$3:F$66)+sumif('Season Stats'!$B$3:$B$66, "Dylan and Matian",'Season Stats'!F$3:F$66)</f>
        <v>5</v>
      </c>
      <c r="G9" s="37">
        <f>sumif('Season Stats'!$B$3:$B$66,"Matt Schreder",'Season Stats'!G$3:G$66)+sumif('Season Stats'!$B$3:$B$66, "Dylan and Matian",'Season Stats'!G$3:G$66)</f>
        <v>4</v>
      </c>
      <c r="H9" s="37">
        <f>sumif('Season Stats'!$B$3:$B$66,"Matt Schreder",'Season Stats'!H$3:H$66)+sumif('Season Stats'!$B$3:$B$66, "Dylan and Matian",'Season Stats'!H$3:H$66)</f>
        <v>0</v>
      </c>
      <c r="I9" s="37">
        <f>sumif('Season Stats'!$B$3:$B$66,"Matt Schreder",'Season Stats'!I$3:I$66)+sumif('Season Stats'!$B$3:$B$66, "Dylan and Matian",'Season Stats'!I$3:I$66)</f>
        <v>0</v>
      </c>
      <c r="J9" s="37">
        <f>sumif('Season Stats'!$B$3:$B$66,"Matt Schreder",'Season Stats'!J$3:J$66)+sumif('Season Stats'!$B$3:$B$66, "Dylan and Matian",'Season Stats'!J$3:J$66)</f>
        <v>0</v>
      </c>
      <c r="K9" s="37">
        <f>sumif('Season Stats'!$B$3:$B$66,"Matt Schreder",'Season Stats'!K$3:K$66)+sumif('Season Stats'!$B$3:$B$66, "Dylan and Matian",'Season Stats'!K$3:K$66)</f>
        <v>1</v>
      </c>
      <c r="L9" s="27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ht="31.5" customHeight="1">
      <c r="A10" s="25"/>
      <c r="B10" s="35" t="s">
        <v>141</v>
      </c>
      <c r="C10" s="36">
        <f t="shared" si="1"/>
        <v>0.2849462366</v>
      </c>
      <c r="D10" s="37">
        <f>sumif('Season Stats'!$B$3:$B$66,"Anson Mies",'Season Stats'!D$3:D$66)+sumif('Season Stats'!$B$3:$B$66, "Pierre Gathy",'Season Stats'!D$3:D$66)</f>
        <v>53</v>
      </c>
      <c r="E10" s="37">
        <f>sumif('Season Stats'!$B$3:$B$66,"Anson Mies",'Season Stats'!E$3:E$66)+sumif('Season Stats'!$B$3:$B$66, "Pierre Gathy",'Season Stats'!E$3:E$66)</f>
        <v>133</v>
      </c>
      <c r="F10" s="37">
        <f>sumif('Season Stats'!$B$3:$B$66,"Anson Mies",'Season Stats'!F$3:F$66)+sumif('Season Stats'!$B$3:$B$66, "Pierre Gathy",'Season Stats'!F$3:F$66)</f>
        <v>9</v>
      </c>
      <c r="G10" s="37">
        <f>sumif('Season Stats'!$B$3:$B$66,"Anson Mies",'Season Stats'!G$3:G$66)+sumif('Season Stats'!$B$3:$B$66, "Pierre Gathy",'Season Stats'!G$3:G$66)</f>
        <v>4</v>
      </c>
      <c r="H10" s="37">
        <f>sumif('Season Stats'!$B$3:$B$66,"Anson Mies",'Season Stats'!H$3:H$66)+sumif('Season Stats'!$B$3:$B$66, "Pierre Gathy",'Season Stats'!H$3:H$66)</f>
        <v>0</v>
      </c>
      <c r="I10" s="37">
        <f>sumif('Season Stats'!$B$3:$B$66,"Anson Mies",'Season Stats'!I$3:I$66)+sumif('Season Stats'!$B$3:$B$66, "Pierre Gathy",'Season Stats'!I$3:I$66)</f>
        <v>0</v>
      </c>
      <c r="J10" s="37">
        <f>sumif('Season Stats'!$B$3:$B$66,"Anson Mies",'Season Stats'!J$3:J$66)+sumif('Season Stats'!$B$3:$B$66, "Pierre Gathy",'Season Stats'!J$3:J$66)</f>
        <v>0</v>
      </c>
      <c r="K10" s="37">
        <f>sumif('Season Stats'!$B$3:$B$66,"Anson Mies",'Season Stats'!K$3:K$66)+sumif('Season Stats'!$B$3:$B$66, "Pierre Gathy",'Season Stats'!K$3:K$66)</f>
        <v>0</v>
      </c>
      <c r="L10" s="27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ht="31.5" customHeight="1">
      <c r="A11" s="25"/>
      <c r="B11" s="35" t="s">
        <v>29</v>
      </c>
      <c r="C11" s="36">
        <f t="shared" si="1"/>
        <v>0.2772277228</v>
      </c>
      <c r="D11" s="37">
        <f>sumif('Season Stats'!$B$3:$B$66,"Jack Wigmore",'Season Stats'!D$3:D$66)+sumif('Season Stats'!$B$3:$B$66, "Charlie Boggs",'Season Stats'!D$3:D$66)</f>
        <v>56</v>
      </c>
      <c r="E11" s="37">
        <f>sumif('Season Stats'!$B$3:$B$66,"Jack Wigmore",'Season Stats'!E$3:E$66)+sumif('Season Stats'!$B$3:$B$66, "Charlie Boggs",'Season Stats'!E$3:E$66)</f>
        <v>146</v>
      </c>
      <c r="F11" s="37">
        <f>sumif('Season Stats'!$B$3:$B$66,"Jack Wigmore",'Season Stats'!F$3:F$66)+sumif('Season Stats'!$B$3:$B$66, "Charlie Boggs",'Season Stats'!F$3:F$66)</f>
        <v>6</v>
      </c>
      <c r="G11" s="37">
        <f>sumif('Season Stats'!$B$3:$B$66,"Jack Wigmore",'Season Stats'!G$3:G$66)+sumif('Season Stats'!$B$3:$B$66, "Charlie Boggs",'Season Stats'!G$3:G$66)</f>
        <v>8</v>
      </c>
      <c r="H11" s="37">
        <f>sumif('Season Stats'!$B$3:$B$66,"Jack Wigmore",'Season Stats'!H$3:H$66)+sumif('Season Stats'!$B$3:$B$66, "Charlie Boggs",'Season Stats'!H$3:H$66)</f>
        <v>0</v>
      </c>
      <c r="I11" s="37">
        <f>sumif('Season Stats'!$B$3:$B$66,"Jack Wigmore",'Season Stats'!I$3:I$66)+sumif('Season Stats'!$B$3:$B$66, "Charlie Boggs",'Season Stats'!I$3:I$66)</f>
        <v>0</v>
      </c>
      <c r="J11" s="37">
        <f>sumif('Season Stats'!$B$3:$B$66,"Jack Wigmore",'Season Stats'!J$3:J$66)+sumif('Season Stats'!$B$3:$B$66, "Charlie Boggs",'Season Stats'!J$3:J$66)</f>
        <v>0</v>
      </c>
      <c r="K11" s="37">
        <f>sumif('Season Stats'!$B$3:$B$66,"Jack Wigmore",'Season Stats'!K$3:K$66)+sumif('Season Stats'!$B$3:$B$66, "Charlie Boggs",'Season Stats'!K$3:K$66)</f>
        <v>1</v>
      </c>
      <c r="L11" s="27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ht="31.5" customHeight="1">
      <c r="A12" s="25"/>
      <c r="B12" s="35" t="s">
        <v>41</v>
      </c>
      <c r="C12" s="36">
        <f t="shared" si="1"/>
        <v>0.2651515152</v>
      </c>
      <c r="D12" s="37">
        <f>sumif('Season Stats'!$B$3:$B$66,"Brock Benton",'Season Stats'!D$3:D$66)+sumif('Season Stats'!$B$3:$B$66, "Vinny Drolet",'Season Stats'!D$3:D$66)</f>
        <v>35</v>
      </c>
      <c r="E12" s="37">
        <f>sumif('Season Stats'!$B$3:$B$66,"Brock Benton",'Season Stats'!E$3:E$66)+sumif('Season Stats'!$B$3:$B$66, "Vinny Drolet",'Season Stats'!E$3:E$66)</f>
        <v>97</v>
      </c>
      <c r="F12" s="37">
        <f>sumif('Season Stats'!$B$3:$B$66,"Brock Benton",'Season Stats'!F$3:F$66)+sumif('Season Stats'!$B$3:$B$66, "Vinny Drolet",'Season Stats'!F$3:F$66)</f>
        <v>5</v>
      </c>
      <c r="G12" s="37">
        <f>sumif('Season Stats'!$B$3:$B$66,"Brock Benton",'Season Stats'!G$3:G$66)+sumif('Season Stats'!$B$3:$B$66, "Vinny Drolet",'Season Stats'!G$3:G$66)</f>
        <v>6</v>
      </c>
      <c r="H12" s="37">
        <f>sumif('Season Stats'!$B$3:$B$66,"Brock Benton",'Season Stats'!H$3:H$66)+sumif('Season Stats'!$B$3:$B$66, "Vinny Drolet",'Season Stats'!H$3:H$66)</f>
        <v>0</v>
      </c>
      <c r="I12" s="37">
        <f>sumif('Season Stats'!$B$3:$B$66,"Brock Benton",'Season Stats'!I$3:I$66)+sumif('Season Stats'!$B$3:$B$66, "Vinny Drolet",'Season Stats'!I$3:I$66)</f>
        <v>0</v>
      </c>
      <c r="J12" s="37">
        <f>sumif('Season Stats'!$B$3:$B$66,"Brock Benton",'Season Stats'!J$3:J$66)+sumif('Season Stats'!$B$3:$B$66, "Vinny Drolet",'Season Stats'!J$3:J$66)</f>
        <v>0</v>
      </c>
      <c r="K12" s="37">
        <f>sumif('Season Stats'!$B$3:$B$66,"Brock Benton",'Season Stats'!K$3:K$66)+sumif('Season Stats'!$B$3:$B$66, "Vinny Drolet",'Season Stats'!K$3:K$66)</f>
        <v>0</v>
      </c>
      <c r="L12" s="27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ht="31.5" customHeight="1">
      <c r="A13" s="25"/>
      <c r="B13" s="35" t="s">
        <v>44</v>
      </c>
      <c r="C13" s="36">
        <f t="shared" si="1"/>
        <v>0.262295082</v>
      </c>
      <c r="D13" s="37">
        <f>sumif('Season Stats'!$B$3:$B$66,"Mati Gandarias",'Season Stats'!D$3:D$66)+sumif('Season Stats'!$B$3:$B$66, "Takoa Cartwright",'Season Stats'!D$3:D$66)</f>
        <v>48</v>
      </c>
      <c r="E13" s="37">
        <f>sumif('Season Stats'!$B$3:$B$66,"Mati Gandarias",'Season Stats'!E$3:E$66)+sumif('Season Stats'!$B$3:$B$66, "Takoa Cartwright",'Season Stats'!E$3:E$66)</f>
        <v>135</v>
      </c>
      <c r="F13" s="37">
        <f>sumif('Season Stats'!$B$3:$B$66,"Mati Gandarias",'Season Stats'!F$3:F$66)+sumif('Season Stats'!$B$3:$B$66, "Takoa Cartwright",'Season Stats'!F$3:F$66)</f>
        <v>7</v>
      </c>
      <c r="G13" s="37">
        <f>sumif('Season Stats'!$B$3:$B$66,"Mati Gandarias",'Season Stats'!G$3:G$66)+sumif('Season Stats'!$B$3:$B$66, "Takoa Cartwright",'Season Stats'!G$3:G$66)</f>
        <v>8</v>
      </c>
      <c r="H13" s="37">
        <f>sumif('Season Stats'!$B$3:$B$66,"Mati Gandarias",'Season Stats'!H$3:H$66)+sumif('Season Stats'!$B$3:$B$66, "Takoa Cartwright",'Season Stats'!H$3:H$66)</f>
        <v>0</v>
      </c>
      <c r="I13" s="37">
        <f>sumif('Season Stats'!$B$3:$B$66,"Mati Gandarias",'Season Stats'!I$3:I$66)+sumif('Season Stats'!$B$3:$B$66, "Takoa Cartwright",'Season Stats'!I$3:I$66)</f>
        <v>0</v>
      </c>
      <c r="J13" s="37">
        <f>sumif('Season Stats'!$B$3:$B$66,"Mati Gandarias",'Season Stats'!J$3:J$66)+sumif('Season Stats'!$B$3:$B$66, "Takoa Cartwright",'Season Stats'!J$3:J$66)</f>
        <v>0</v>
      </c>
      <c r="K13" s="37">
        <f>sumif('Season Stats'!$B$3:$B$66,"Mati Gandarias",'Season Stats'!K$3:K$66)+sumif('Season Stats'!$B$3:$B$66, "Takoa Cartwright",'Season Stats'!K$3:K$66)</f>
        <v>0</v>
      </c>
      <c r="L13" s="27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ht="31.5" customHeight="1">
      <c r="A14" s="25"/>
      <c r="B14" s="35" t="s">
        <v>34</v>
      </c>
      <c r="C14" s="36">
        <f t="shared" si="1"/>
        <v>0.2621359223</v>
      </c>
      <c r="D14" s="37">
        <f>sumif('Season Stats'!$B$3:$B$66,"Josh Cestero",'Season Stats'!D$3:D$66)+sumif('Season Stats'!$B$3:$B$66, "Michael Messina",'Season Stats'!D$3:D$66)</f>
        <v>27</v>
      </c>
      <c r="E14" s="37">
        <f>sumif('Season Stats'!$B$3:$B$66,"Josh Cestero",'Season Stats'!E$3:E$66)+sumif('Season Stats'!$B$3:$B$66, "Michael Messina",'Season Stats'!E$3:E$66)</f>
        <v>76</v>
      </c>
      <c r="F14" s="37">
        <f>sumif('Season Stats'!$B$3:$B$66,"Josh Cestero",'Season Stats'!F$3:F$66)+sumif('Season Stats'!$B$3:$B$66, "Michael Messina",'Season Stats'!F$3:F$66)</f>
        <v>4</v>
      </c>
      <c r="G14" s="37">
        <f>sumif('Season Stats'!$B$3:$B$66,"Josh Cestero",'Season Stats'!G$3:G$66)+sumif('Season Stats'!$B$3:$B$66, "Michael Messina",'Season Stats'!G$3:G$66)</f>
        <v>4</v>
      </c>
      <c r="H14" s="37">
        <f>sumif('Season Stats'!$B$3:$B$66,"Josh Cestero",'Season Stats'!H$3:H$66)+sumif('Season Stats'!$B$3:$B$66, "Michael Messina",'Season Stats'!H$3:H$66)</f>
        <v>0</v>
      </c>
      <c r="I14" s="37">
        <f>sumif('Season Stats'!$B$3:$B$66,"Josh Cestero",'Season Stats'!I$3:I$66)+sumif('Season Stats'!$B$3:$B$66, "Michael Messina",'Season Stats'!I$3:I$66)</f>
        <v>0</v>
      </c>
      <c r="J14" s="37">
        <f>sumif('Season Stats'!$B$3:$B$66,"Josh Cestero",'Season Stats'!J$3:J$66)+sumif('Season Stats'!$B$3:$B$66, "Michael Messina",'Season Stats'!J$3:J$66)</f>
        <v>0</v>
      </c>
      <c r="K14" s="37">
        <f>sumif('Season Stats'!$B$3:$B$66,"Josh Cestero",'Season Stats'!K$3:K$66)+sumif('Season Stats'!$B$3:$B$66, "Michael Messina",'Season Stats'!K$3:K$66)</f>
        <v>0</v>
      </c>
      <c r="L14" s="27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ht="31.5" customHeight="1">
      <c r="A15" s="25"/>
      <c r="B15" s="35" t="s">
        <v>142</v>
      </c>
      <c r="C15" s="36">
        <f t="shared" si="1"/>
        <v>0.246835443</v>
      </c>
      <c r="D15" s="37">
        <f>sumif('Season Stats'!$B$3:$B$66,"Jaden Pearlmutter",'Season Stats'!D$3:D$66)+sumif('Season Stats'!$B$3:$B$66, "Ford Tate",'Season Stats'!D$3:D$66)</f>
        <v>39</v>
      </c>
      <c r="E15" s="37">
        <f>sumif('Season Stats'!$B$3:$B$66,"Jaden Pearlmutter",'Season Stats'!E$3:E$66)+sumif('Season Stats'!$B$3:$B$66, "Ford Tate",'Season Stats'!E$3:E$66)</f>
        <v>119</v>
      </c>
      <c r="F15" s="37">
        <f>sumif('Season Stats'!$B$3:$B$66,"Jaden Pearlmutter",'Season Stats'!F$3:F$66)+sumif('Season Stats'!$B$3:$B$66, "Ford Tate",'Season Stats'!F$3:F$66)</f>
        <v>1</v>
      </c>
      <c r="G15" s="37">
        <f>sumif('Season Stats'!$B$3:$B$66,"Jaden Pearlmutter",'Season Stats'!G$3:G$66)+sumif('Season Stats'!$B$3:$B$66, "Ford Tate",'Season Stats'!G$3:G$66)</f>
        <v>3</v>
      </c>
      <c r="H15" s="37">
        <f>sumif('Season Stats'!$B$3:$B$66,"Jaden Pearlmutter",'Season Stats'!H$3:H$66)+sumif('Season Stats'!$B$3:$B$66, "Ford Tate",'Season Stats'!H$3:H$66)</f>
        <v>0</v>
      </c>
      <c r="I15" s="37">
        <f>sumif('Season Stats'!$B$3:$B$66,"Jaden Pearlmutter",'Season Stats'!I$3:I$66)+sumif('Season Stats'!$B$3:$B$66, "Ford Tate",'Season Stats'!I$3:I$66)</f>
        <v>0</v>
      </c>
      <c r="J15" s="37">
        <f>sumif('Season Stats'!$B$3:$B$66,"Jaden Pearlmutter",'Season Stats'!J$3:J$66)+sumif('Season Stats'!$B$3:$B$66, "Ford Tate",'Season Stats'!J$3:J$66)</f>
        <v>0</v>
      </c>
      <c r="K15" s="37">
        <f>sumif('Season Stats'!$B$3:$B$66,"Jaden Pearlmutter",'Season Stats'!K$3:K$66)+sumif('Season Stats'!$B$3:$B$66, "Ford Tate",'Season Stats'!K$3:K$66)</f>
        <v>0</v>
      </c>
      <c r="L15" s="27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ht="31.5" customHeight="1">
      <c r="A16" s="25"/>
      <c r="B16" s="35" t="s">
        <v>28</v>
      </c>
      <c r="C16" s="36">
        <f t="shared" si="1"/>
        <v>0.2450331126</v>
      </c>
      <c r="D16" s="37">
        <f>sumif('Season Stats'!$B$3:$B$66,"Naman Kulkarni",'Season Stats'!D$3:D$66)+sumif('Season Stats'!$B$3:$B$66, "Liam Byrne",'Season Stats'!D$3:D$66)</f>
        <v>37</v>
      </c>
      <c r="E16" s="37">
        <f>sumif('Season Stats'!$B$3:$B$66,"Naman Kulkarni",'Season Stats'!E$3:E$66)+sumif('Season Stats'!$B$3:$B$66, "Liam Byrne",'Season Stats'!E$3:E$66)</f>
        <v>114</v>
      </c>
      <c r="F16" s="37">
        <f>sumif('Season Stats'!$B$3:$B$66,"Naman Kulkarni",'Season Stats'!F$3:F$66)+sumif('Season Stats'!$B$3:$B$66, "Liam Byrne",'Season Stats'!F$3:F$66)</f>
        <v>9</v>
      </c>
      <c r="G16" s="37">
        <f>sumif('Season Stats'!$B$3:$B$66,"Naman Kulkarni",'Season Stats'!G$3:G$66)+sumif('Season Stats'!$B$3:$B$66, "Liam Byrne",'Season Stats'!G$3:G$66)</f>
        <v>6</v>
      </c>
      <c r="H16" s="37">
        <f>sumif('Season Stats'!$B$3:$B$66,"Naman Kulkarni",'Season Stats'!H$3:H$66)+sumif('Season Stats'!$B$3:$B$66, "Liam Byrne",'Season Stats'!H$3:H$66)</f>
        <v>0</v>
      </c>
      <c r="I16" s="37">
        <f>sumif('Season Stats'!$B$3:$B$66,"Naman Kulkarni",'Season Stats'!I$3:I$66)+sumif('Season Stats'!$B$3:$B$66, "Liam Byrne",'Season Stats'!I$3:I$66)</f>
        <v>0</v>
      </c>
      <c r="J16" s="37">
        <f>sumif('Season Stats'!$B$3:$B$66,"Naman Kulkarni",'Season Stats'!J$3:J$66)+sumif('Season Stats'!$B$3:$B$66, "Liam Byrne",'Season Stats'!J$3:J$66)</f>
        <v>0</v>
      </c>
      <c r="K16" s="37">
        <f>sumif('Season Stats'!$B$3:$B$66,"Naman Kulkarni",'Season Stats'!K$3:K$66)+sumif('Season Stats'!$B$3:$B$66, "Liam Byrne",'Season Stats'!K$3:K$66)</f>
        <v>0</v>
      </c>
      <c r="L16" s="27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ht="31.5" customHeight="1">
      <c r="A17" s="25"/>
      <c r="B17" s="35" t="s">
        <v>143</v>
      </c>
      <c r="C17" s="36">
        <f t="shared" si="1"/>
        <v>0.24</v>
      </c>
      <c r="D17" s="37">
        <f>sumif('Season Stats'!$B$3:$B$66,"Kavishka Bartlett",'Season Stats'!D$3:D$66)+sumif('Season Stats'!$B$3:$B$66, "Akash Mishra",'Season Stats'!D$3:D$66)</f>
        <v>24</v>
      </c>
      <c r="E17" s="37">
        <f>sumif('Season Stats'!$B$3:$B$66,"Kavishka Bartlett",'Season Stats'!E$3:E$66)+sumif('Season Stats'!$B$3:$B$66, "Akash Mishra",'Season Stats'!E$3:E$66)</f>
        <v>76</v>
      </c>
      <c r="F17" s="37">
        <f>sumif('Season Stats'!$B$3:$B$66,"Kavishka Bartlett",'Season Stats'!F$3:F$66)+sumif('Season Stats'!$B$3:$B$66, "Akash Mishra",'Season Stats'!F$3:F$66)</f>
        <v>6</v>
      </c>
      <c r="G17" s="37">
        <f>sumif('Season Stats'!$B$3:$B$66,"Kavishka Bartlett",'Season Stats'!G$3:G$66)+sumif('Season Stats'!$B$3:$B$66, "Akash Mishra",'Season Stats'!G$3:G$66)</f>
        <v>8</v>
      </c>
      <c r="H17" s="37">
        <f>sumif('Season Stats'!$B$3:$B$66,"Kavishka Bartlett",'Season Stats'!H$3:H$66)+sumif('Season Stats'!$B$3:$B$66, "Akash Mishra",'Season Stats'!H$3:H$66)</f>
        <v>0</v>
      </c>
      <c r="I17" s="37">
        <f>sumif('Season Stats'!$B$3:$B$66,"Kavishka Bartlett",'Season Stats'!I$3:I$66)+sumif('Season Stats'!$B$3:$B$66, "Akash Mishra",'Season Stats'!I$3:I$66)</f>
        <v>0</v>
      </c>
      <c r="J17" s="37">
        <f>sumif('Season Stats'!$B$3:$B$66,"Kavishka Bartlett",'Season Stats'!J$3:J$66)+sumif('Season Stats'!$B$3:$B$66, "Akash Mishra",'Season Stats'!J$3:J$66)</f>
        <v>0</v>
      </c>
      <c r="K17" s="37">
        <f>sumif('Season Stats'!$B$3:$B$66,"Kavishka Bartlett",'Season Stats'!K$3:K$66)+sumif('Season Stats'!$B$3:$B$66, "Akash Mishra",'Season Stats'!K$3:K$66)</f>
        <v>0</v>
      </c>
      <c r="L17" s="27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ht="31.5" customHeight="1">
      <c r="A18" s="25"/>
      <c r="B18" s="35" t="s">
        <v>144</v>
      </c>
      <c r="C18" s="36">
        <f t="shared" si="1"/>
        <v>0.2380952381</v>
      </c>
      <c r="D18" s="37">
        <f>sumif('Season Stats'!$B$3:$B$66,"Emilio Garcia",'Season Stats'!D$3:D$66)+sumif('Season Stats'!$B$3:$B$66, "John Tolsma",'Season Stats'!D$3:D$66)</f>
        <v>35</v>
      </c>
      <c r="E18" s="37">
        <f>sumif('Season Stats'!$B$3:$B$66,"Emilio Garcia",'Season Stats'!E$3:E$66)+sumif('Season Stats'!$B$3:$B$66, "John Tolsma",'Season Stats'!E$3:E$66)</f>
        <v>112</v>
      </c>
      <c r="F18" s="37">
        <f>sumif('Season Stats'!$B$3:$B$66,"Emilio Garcia",'Season Stats'!F$3:F$66)+sumif('Season Stats'!$B$3:$B$66, "John Tolsma",'Season Stats'!F$3:F$66)</f>
        <v>3</v>
      </c>
      <c r="G18" s="37">
        <f>sumif('Season Stats'!$B$3:$B$66,"Emilio Garcia",'Season Stats'!G$3:G$66)+sumif('Season Stats'!$B$3:$B$66, "John Tolsma",'Season Stats'!G$3:G$66)</f>
        <v>12</v>
      </c>
      <c r="H18" s="37">
        <f>sumif('Season Stats'!$B$3:$B$66,"Emilio Garcia",'Season Stats'!H$3:H$66)+sumif('Season Stats'!$B$3:$B$66, "John Tolsma",'Season Stats'!H$3:H$66)</f>
        <v>0</v>
      </c>
      <c r="I18" s="37">
        <f>sumif('Season Stats'!$B$3:$B$66,"Emilio Garcia",'Season Stats'!I$3:I$66)+sumif('Season Stats'!$B$3:$B$66, "John Tolsma",'Season Stats'!I$3:I$66)</f>
        <v>0</v>
      </c>
      <c r="J18" s="37">
        <f>sumif('Season Stats'!$B$3:$B$66,"Emilio Garcia",'Season Stats'!J$3:J$66)+sumif('Season Stats'!$B$3:$B$66, "John Tolsma",'Season Stats'!J$3:J$66)</f>
        <v>0</v>
      </c>
      <c r="K18" s="37">
        <f>sumif('Season Stats'!$B$3:$B$66,"Emilio Garcia",'Season Stats'!K$3:K$66)+sumif('Season Stats'!$B$3:$B$66, "John Tolsma",'Season Stats'!K$3:K$66)</f>
        <v>0</v>
      </c>
      <c r="L18" s="27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ht="31.5" customHeight="1">
      <c r="A19" s="25"/>
      <c r="B19" s="35" t="s">
        <v>47</v>
      </c>
      <c r="C19" s="36">
        <f t="shared" si="1"/>
        <v>0.2363636364</v>
      </c>
      <c r="D19" s="37">
        <f>sumif('Season Stats'!$B$3:$B$66,"Drew Albright",'Season Stats'!D$3:D$66)+sumif('Season Stats'!$B$3:$B$66, "Jack Wilder",'Season Stats'!D$3:D$66)</f>
        <v>26</v>
      </c>
      <c r="E19" s="37">
        <f>sumif('Season Stats'!$B$3:$B$66,"Drew Albright",'Season Stats'!E$3:E$66)+sumif('Season Stats'!$B$3:$B$66, "Jack Wilder",'Season Stats'!E$3:E$66)</f>
        <v>84</v>
      </c>
      <c r="F19" s="37">
        <f>sumif('Season Stats'!$B$3:$B$66,"Drew Albright",'Season Stats'!F$3:F$66)+sumif('Season Stats'!$B$3:$B$66, "Jack Wilder",'Season Stats'!F$3:F$66)</f>
        <v>8</v>
      </c>
      <c r="G19" s="37">
        <f>sumif('Season Stats'!$B$3:$B$66,"Drew Albright",'Season Stats'!G$3:G$66)+sumif('Season Stats'!$B$3:$B$66, "Jack Wilder",'Season Stats'!G$3:G$66)</f>
        <v>7</v>
      </c>
      <c r="H19" s="37">
        <f>sumif('Season Stats'!$B$3:$B$66,"Drew Albright",'Season Stats'!H$3:H$66)+sumif('Season Stats'!$B$3:$B$66, "Jack Wilder",'Season Stats'!H$3:H$66)</f>
        <v>0</v>
      </c>
      <c r="I19" s="37">
        <f>sumif('Season Stats'!$B$3:$B$66,"Drew Albright",'Season Stats'!I$3:I$66)+sumif('Season Stats'!$B$3:$B$66, "Jack Wilder",'Season Stats'!I$3:I$66)</f>
        <v>0</v>
      </c>
      <c r="J19" s="37">
        <f>sumif('Season Stats'!$B$3:$B$66,"Drew Albright",'Season Stats'!J$3:J$66)+sumif('Season Stats'!$B$3:$B$66, "Jack Wilder",'Season Stats'!J$3:J$66)</f>
        <v>0</v>
      </c>
      <c r="K19" s="37">
        <f>sumif('Season Stats'!$B$3:$B$66,"Drew Albright",'Season Stats'!K$3:K$66)+sumif('Season Stats'!$B$3:$B$66, "Jack Wilder",'Season Stats'!K$3:K$66)</f>
        <v>0</v>
      </c>
      <c r="L19" s="27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ht="31.5" customHeight="1">
      <c r="A20" s="25"/>
      <c r="B20" s="35" t="s">
        <v>15</v>
      </c>
      <c r="C20" s="36">
        <f t="shared" si="1"/>
        <v>0.2307692308</v>
      </c>
      <c r="D20" s="37">
        <f>sumif('Season Stats'!$B$3:$B$66,"Toban Doody",'Season Stats'!D$3:D$66)+sumif('Season Stats'!$B$3:$B$66, "Henry Morrison",'Season Stats'!D$3:D$66)</f>
        <v>33</v>
      </c>
      <c r="E20" s="37">
        <f>sumif('Season Stats'!$B$3:$B$66,"Toban Doody",'Season Stats'!E$3:E$66)+sumif('Season Stats'!$B$3:$B$66, "Henry Morrison",'Season Stats'!E$3:E$66)</f>
        <v>110</v>
      </c>
      <c r="F20" s="37">
        <f>sumif('Season Stats'!$B$3:$B$66,"Toban Doody",'Season Stats'!F$3:F$66)+sumif('Season Stats'!$B$3:$B$66, "Henry Morrison",'Season Stats'!F$3:F$66)</f>
        <v>3</v>
      </c>
      <c r="G20" s="37">
        <f>sumif('Season Stats'!$B$3:$B$66,"Toban Doody",'Season Stats'!G$3:G$66)+sumif('Season Stats'!$B$3:$B$66, "Henry Morrison",'Season Stats'!G$3:G$66)</f>
        <v>8</v>
      </c>
      <c r="H20" s="37">
        <f>sumif('Season Stats'!$B$3:$B$66,"Toban Doody",'Season Stats'!H$3:H$66)+sumif('Season Stats'!$B$3:$B$66, "Henry Morrison",'Season Stats'!H$3:H$66)</f>
        <v>0</v>
      </c>
      <c r="I20" s="37">
        <f>sumif('Season Stats'!$B$3:$B$66,"Toban Doody",'Season Stats'!I$3:I$66)+sumif('Season Stats'!$B$3:$B$66, "Henry Morrison",'Season Stats'!I$3:I$66)</f>
        <v>0</v>
      </c>
      <c r="J20" s="37">
        <f>sumif('Season Stats'!$B$3:$B$66,"Toban Doody",'Season Stats'!J$3:J$66)+sumif('Season Stats'!$B$3:$B$66, "Henry Morrison",'Season Stats'!J$3:J$66)</f>
        <v>0</v>
      </c>
      <c r="K20" s="37">
        <f>sumif('Season Stats'!$B$3:$B$66,"Toban Doody",'Season Stats'!K$3:K$66)+sumif('Season Stats'!$B$3:$B$66, "Henry Morrison",'Season Stats'!K$3:K$66)</f>
        <v>1</v>
      </c>
      <c r="L20" s="27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ht="31.5" customHeight="1">
      <c r="A21" s="25"/>
      <c r="B21" s="35" t="s">
        <v>62</v>
      </c>
      <c r="C21" s="36">
        <f t="shared" si="1"/>
        <v>0.2272727273</v>
      </c>
      <c r="D21" s="37">
        <f>sumif('Season Stats'!$B$3:$B$66,"AJ Cashman",'Season Stats'!D$3:D$66)+sumif('Season Stats'!$B$3:$B$66, "Zach Israel",'Season Stats'!D$3:D$66)</f>
        <v>25</v>
      </c>
      <c r="E21" s="37">
        <f>sumif('Season Stats'!$B$3:$B$66,"AJ Cashman",'Season Stats'!E$3:E$66)+sumif('Season Stats'!$B$3:$B$66, "Zach Israel",'Season Stats'!E$3:E$66)</f>
        <v>85</v>
      </c>
      <c r="F21" s="37">
        <f>sumif('Season Stats'!$B$3:$B$66,"AJ Cashman",'Season Stats'!F$3:F$66)+sumif('Season Stats'!$B$3:$B$66, "Zach Israel",'Season Stats'!F$3:F$66)</f>
        <v>5</v>
      </c>
      <c r="G21" s="37">
        <f>sumif('Season Stats'!$B$3:$B$66,"AJ Cashman",'Season Stats'!G$3:G$66)+sumif('Season Stats'!$B$3:$B$66, "Zach Israel",'Season Stats'!G$3:G$66)</f>
        <v>5</v>
      </c>
      <c r="H21" s="37">
        <f>sumif('Season Stats'!$B$3:$B$66,"AJ Cashman",'Season Stats'!H$3:H$66)+sumif('Season Stats'!$B$3:$B$66, "Zach Israel",'Season Stats'!H$3:H$66)</f>
        <v>0</v>
      </c>
      <c r="I21" s="37">
        <f>sumif('Season Stats'!$B$3:$B$66,"AJ Cashman",'Season Stats'!I$3:I$66)+sumif('Season Stats'!$B$3:$B$66, "Zach Israel",'Season Stats'!I$3:I$66)</f>
        <v>0</v>
      </c>
      <c r="J21" s="37">
        <f>sumif('Season Stats'!$B$3:$B$66,"AJ Cashman",'Season Stats'!J$3:J$66)+sumif('Season Stats'!$B$3:$B$66, "Zach Israel",'Season Stats'!J$3:J$66)</f>
        <v>0</v>
      </c>
      <c r="K21" s="37">
        <f>sumif('Season Stats'!$B$3:$B$66,"AJ Cashman",'Season Stats'!K$3:K$66)+sumif('Season Stats'!$B$3:$B$66, "Zach Israel",'Season Stats'!K$3:K$66)</f>
        <v>0</v>
      </c>
      <c r="L21" s="27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ht="31.5" customHeight="1">
      <c r="A22" s="25"/>
      <c r="B22" s="35" t="s">
        <v>145</v>
      </c>
      <c r="C22" s="36">
        <f t="shared" si="1"/>
        <v>0.224137931</v>
      </c>
      <c r="D22" s="37">
        <f>sumif('Season Stats'!$B$3:$B$66,"Alejandro Montero",'Season Stats'!D$3:D$66)+sumif('Season Stats'!$B$3:$B$66, "Max Bonnstetter",'Season Stats'!D$3:D$66)</f>
        <v>26</v>
      </c>
      <c r="E22" s="37">
        <f>sumif('Season Stats'!$B$3:$B$66,"Alejandro Montero",'Season Stats'!E$3:E$66)+sumif('Season Stats'!$B$3:$B$66, "Max Bonnstetter",'Season Stats'!E$3:E$66)</f>
        <v>90</v>
      </c>
      <c r="F22" s="37">
        <f>sumif('Season Stats'!$B$3:$B$66,"Alejandro Montero",'Season Stats'!F$3:F$66)+sumif('Season Stats'!$B$3:$B$66, "Max Bonnstetter",'Season Stats'!F$3:F$66)</f>
        <v>2</v>
      </c>
      <c r="G22" s="37">
        <f>sumif('Season Stats'!$B$3:$B$66,"Alejandro Montero",'Season Stats'!G$3:G$66)+sumif('Season Stats'!$B$3:$B$66, "Max Bonnstetter",'Season Stats'!G$3:G$66)</f>
        <v>10</v>
      </c>
      <c r="H22" s="37">
        <f>sumif('Season Stats'!$B$3:$B$66,"Alejandro Montero",'Season Stats'!H$3:H$66)+sumif('Season Stats'!$B$3:$B$66, "Max Bonnstetter",'Season Stats'!H$3:H$66)</f>
        <v>0</v>
      </c>
      <c r="I22" s="37">
        <f>sumif('Season Stats'!$B$3:$B$66,"Alejandro Montero",'Season Stats'!I$3:I$66)+sumif('Season Stats'!$B$3:$B$66, "Max Bonnstetter",'Season Stats'!I$3:I$66)</f>
        <v>0</v>
      </c>
      <c r="J22" s="37">
        <f>sumif('Season Stats'!$B$3:$B$66,"Alejandro Montero",'Season Stats'!J$3:J$66)+sumif('Season Stats'!$B$3:$B$66, "Max Bonnstetter",'Season Stats'!J$3:J$66)</f>
        <v>0</v>
      </c>
      <c r="K22" s="37">
        <f>sumif('Season Stats'!$B$3:$B$66,"Alejandro Montero",'Season Stats'!K$3:K$66)+sumif('Season Stats'!$B$3:$B$66, "Max Bonnstetter",'Season Stats'!K$3:K$66)</f>
        <v>1</v>
      </c>
      <c r="L22" s="27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ht="31.5" customHeight="1">
      <c r="A23" s="25"/>
      <c r="B23" s="35" t="s">
        <v>146</v>
      </c>
      <c r="C23" s="36">
        <f t="shared" si="1"/>
        <v>0.2236842105</v>
      </c>
      <c r="D23" s="37">
        <f>sumif('Season Stats'!$B$3:$B$66,"Isaiah Boyles",'Season Stats'!D$3:D$66)+sumif('Season Stats'!$B$3:$B$66, "Mike Miller",'Season Stats'!D$3:D$66)</f>
        <v>17</v>
      </c>
      <c r="E23" s="37">
        <f>sumif('Season Stats'!$B$3:$B$66,"Isaiah Boyles",'Season Stats'!E$3:E$66)+sumif('Season Stats'!$B$3:$B$66, "Mike Miller",'Season Stats'!E$3:E$66)</f>
        <v>59</v>
      </c>
      <c r="F23" s="37">
        <f>sumif('Season Stats'!$B$3:$B$66,"Isaiah Boyles",'Season Stats'!F$3:F$66)+sumif('Season Stats'!$B$3:$B$66, "Mike Miller",'Season Stats'!F$3:F$66)</f>
        <v>1</v>
      </c>
      <c r="G23" s="37">
        <f>sumif('Season Stats'!$B$3:$B$66,"Isaiah Boyles",'Season Stats'!G$3:G$66)+sumif('Season Stats'!$B$3:$B$66, "Mike Miller",'Season Stats'!G$3:G$66)</f>
        <v>5</v>
      </c>
      <c r="H23" s="37">
        <f>sumif('Season Stats'!$B$3:$B$66,"Isaiah Boyles",'Season Stats'!H$3:H$66)+sumif('Season Stats'!$B$3:$B$66, "Mike Miller",'Season Stats'!H$3:H$66)</f>
        <v>0</v>
      </c>
      <c r="I23" s="37">
        <f>sumif('Season Stats'!$B$3:$B$66,"Isaiah Boyles",'Season Stats'!I$3:I$66)+sumif('Season Stats'!$B$3:$B$66, "Mike Miller",'Season Stats'!I$3:I$66)</f>
        <v>0</v>
      </c>
      <c r="J23" s="37">
        <f>sumif('Season Stats'!$B$3:$B$66,"Isaiah Boyles",'Season Stats'!J$3:J$66)+sumif('Season Stats'!$B$3:$B$66, "Mike Miller",'Season Stats'!J$3:J$66)</f>
        <v>0</v>
      </c>
      <c r="K23" s="37">
        <f>sumif('Season Stats'!$B$3:$B$66,"Isaiah Boyles",'Season Stats'!K$3:K$66)+sumif('Season Stats'!$B$3:$B$66, "Mike Miller",'Season Stats'!K$3:K$66)</f>
        <v>0</v>
      </c>
      <c r="L23" s="27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ht="31.5" customHeight="1">
      <c r="A24" s="25"/>
      <c r="B24" s="35" t="s">
        <v>32</v>
      </c>
      <c r="C24" s="36">
        <f t="shared" si="1"/>
        <v>0.2222222222</v>
      </c>
      <c r="D24" s="37">
        <f>sumif('Season Stats'!$B$3:$B$66,"Will Bello",'Season Stats'!D$3:D$66)+sumif('Season Stats'!$B$3:$B$66, "Keith Buenrostro",'Season Stats'!D$3:D$66)</f>
        <v>20</v>
      </c>
      <c r="E24" s="37">
        <f>sumif('Season Stats'!$B$3:$B$66,"Will Bello",'Season Stats'!E$3:E$66)+sumif('Season Stats'!$B$3:$B$66, "Keith Buenrostro",'Season Stats'!E$3:E$66)</f>
        <v>70</v>
      </c>
      <c r="F24" s="37">
        <f>sumif('Season Stats'!$B$3:$B$66,"Will Bello",'Season Stats'!F$3:F$66)+sumif('Season Stats'!$B$3:$B$66, "Keith Buenrostro",'Season Stats'!F$3:F$66)</f>
        <v>5</v>
      </c>
      <c r="G24" s="37">
        <f>sumif('Season Stats'!$B$3:$B$66,"Will Bello",'Season Stats'!G$3:G$66)+sumif('Season Stats'!$B$3:$B$66, "Keith Buenrostro",'Season Stats'!G$3:G$66)</f>
        <v>7</v>
      </c>
      <c r="H24" s="37">
        <f>sumif('Season Stats'!$B$3:$B$66,"Will Bello",'Season Stats'!H$3:H$66)+sumif('Season Stats'!$B$3:$B$66, "Keith Buenrostro",'Season Stats'!H$3:H$66)</f>
        <v>0</v>
      </c>
      <c r="I24" s="37">
        <f>sumif('Season Stats'!$B$3:$B$66,"Will Bello",'Season Stats'!I$3:I$66)+sumif('Season Stats'!$B$3:$B$66, "Keith Buenrostro",'Season Stats'!I$3:I$66)</f>
        <v>0</v>
      </c>
      <c r="J24" s="37">
        <f>sumif('Season Stats'!$B$3:$B$66,"Will Bello",'Season Stats'!J$3:J$66)+sumif('Season Stats'!$B$3:$B$66, "Keith Buenrostro",'Season Stats'!J$3:J$66)</f>
        <v>0</v>
      </c>
      <c r="K24" s="37">
        <f>sumif('Season Stats'!$B$3:$B$66,"Will Bello",'Season Stats'!K$3:K$66)+sumif('Season Stats'!$B$3:$B$66, "Keith Buenrostro",'Season Stats'!K$3:K$66)</f>
        <v>0</v>
      </c>
      <c r="L24" s="27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ht="31.5" customHeight="1">
      <c r="A25" s="25"/>
      <c r="B25" s="35" t="s">
        <v>20</v>
      </c>
      <c r="C25" s="36">
        <f t="shared" si="1"/>
        <v>0.2166666667</v>
      </c>
      <c r="D25" s="37">
        <f>sumif('Season Stats'!$B$3:$B$66,"Arturo Martinez",'Season Stats'!D$3:D$66)+sumif('Season Stats'!$B$3:$B$66, "John Grissinger",'Season Stats'!D$3:D$66)</f>
        <v>26</v>
      </c>
      <c r="E25" s="37">
        <f>sumif('Season Stats'!$B$3:$B$66,"Arturo Martinez",'Season Stats'!E$3:E$66)+sumif('Season Stats'!$B$3:$B$66, "John Grissinger",'Season Stats'!E$3:E$66)</f>
        <v>94</v>
      </c>
      <c r="F25" s="37">
        <f>sumif('Season Stats'!$B$3:$B$66,"Arturo Martinez",'Season Stats'!F$3:F$66)+sumif('Season Stats'!$B$3:$B$66, "John Grissinger",'Season Stats'!F$3:F$66)</f>
        <v>2</v>
      </c>
      <c r="G25" s="37">
        <f>sumif('Season Stats'!$B$3:$B$66,"Arturo Martinez",'Season Stats'!G$3:G$66)+sumif('Season Stats'!$B$3:$B$66, "John Grissinger",'Season Stats'!G$3:G$66)</f>
        <v>8</v>
      </c>
      <c r="H25" s="37">
        <f>sumif('Season Stats'!$B$3:$B$66,"Arturo Martinez",'Season Stats'!H$3:H$66)+sumif('Season Stats'!$B$3:$B$66, "John Grissinger",'Season Stats'!H$3:H$66)</f>
        <v>0</v>
      </c>
      <c r="I25" s="37">
        <f>sumif('Season Stats'!$B$3:$B$66,"Arturo Martinez",'Season Stats'!I$3:I$66)+sumif('Season Stats'!$B$3:$B$66, "John Grissinger",'Season Stats'!I$3:I$66)</f>
        <v>0</v>
      </c>
      <c r="J25" s="37">
        <f>sumif('Season Stats'!$B$3:$B$66,"Arturo Martinez",'Season Stats'!J$3:J$66)+sumif('Season Stats'!$B$3:$B$66, "John Grissinger",'Season Stats'!J$3:J$66)</f>
        <v>0</v>
      </c>
      <c r="K25" s="37">
        <f>sumif('Season Stats'!$B$3:$B$66,"Arturo Martinez",'Season Stats'!K$3:K$66)+sumif('Season Stats'!$B$3:$B$66, "John Grissinger",'Season Stats'!K$3:K$66)</f>
        <v>0</v>
      </c>
      <c r="L25" s="27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ht="31.5" customHeight="1">
      <c r="A26" s="25"/>
      <c r="B26" s="35" t="s">
        <v>33</v>
      </c>
      <c r="C26" s="36">
        <f t="shared" si="1"/>
        <v>0.2068965517</v>
      </c>
      <c r="D26" s="37">
        <f>sumif('Season Stats'!$B$3:$B$66,"Michael Dignazio",'Season Stats'!D$3:D$66)+sumif('Season Stats'!$B$3:$B$66, "Andrew Mann",'Season Stats'!D$3:D$66)</f>
        <v>6</v>
      </c>
      <c r="E26" s="37">
        <f>sumif('Season Stats'!$B$3:$B$66,"Michael Dignazio",'Season Stats'!E$3:E$66)+sumif('Season Stats'!$B$3:$B$66, "Andrew Mann",'Season Stats'!E$3:E$66)</f>
        <v>23</v>
      </c>
      <c r="F26" s="37">
        <f>sumif('Season Stats'!$B$3:$B$66,"Michael Dignazio",'Season Stats'!F$3:F$66)+sumif('Season Stats'!$B$3:$B$66, "Andrew Mann",'Season Stats'!F$3:F$66)</f>
        <v>1</v>
      </c>
      <c r="G26" s="37">
        <f>sumif('Season Stats'!$B$3:$B$66,"Michael Dignazio",'Season Stats'!G$3:G$66)+sumif('Season Stats'!$B$3:$B$66, "Andrew Mann",'Season Stats'!G$3:G$66)</f>
        <v>2</v>
      </c>
      <c r="H26" s="37">
        <f>sumif('Season Stats'!$B$3:$B$66,"Michael Dignazio",'Season Stats'!H$3:H$66)+sumif('Season Stats'!$B$3:$B$66, "Andrew Mann",'Season Stats'!H$3:H$66)</f>
        <v>0</v>
      </c>
      <c r="I26" s="37">
        <f>sumif('Season Stats'!$B$3:$B$66,"Michael Dignazio",'Season Stats'!I$3:I$66)+sumif('Season Stats'!$B$3:$B$66, "Andrew Mann",'Season Stats'!I$3:I$66)</f>
        <v>0</v>
      </c>
      <c r="J26" s="37">
        <f>sumif('Season Stats'!$B$3:$B$66,"Michael Dignazio",'Season Stats'!J$3:J$66)+sumif('Season Stats'!$B$3:$B$66, "Andrew Mann",'Season Stats'!J$3:J$66)</f>
        <v>0</v>
      </c>
      <c r="K26" s="37">
        <f>sumif('Season Stats'!$B$3:$B$66,"Michael Dignazio",'Season Stats'!K$3:K$66)+sumif('Season Stats'!$B$3:$B$66, "Andrew Mann",'Season Stats'!K$3:K$66)</f>
        <v>0</v>
      </c>
      <c r="L26" s="27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ht="31.5" customHeight="1">
      <c r="A27" s="25"/>
      <c r="B27" s="35" t="s">
        <v>12</v>
      </c>
      <c r="C27" s="36">
        <f t="shared" si="1"/>
        <v>0.2052980132</v>
      </c>
      <c r="D27" s="37">
        <f>sumif('Season Stats'!$B$3:$B$66,"Giacomo Pugliese",'Season Stats'!D$3:D$66)+sumif('Season Stats'!$B$3:$B$66, "Sammy Katz",'Season Stats'!D$3:D$66)</f>
        <v>31</v>
      </c>
      <c r="E27" s="37">
        <f>sumif('Season Stats'!$B$3:$B$66,"Giacomo Pugliese",'Season Stats'!E$3:E$66)+sumif('Season Stats'!$B$3:$B$66, "Sammy Katz",'Season Stats'!E$3:E$66)</f>
        <v>120</v>
      </c>
      <c r="F27" s="37">
        <f>sumif('Season Stats'!$B$3:$B$66,"Giacomo Pugliese",'Season Stats'!F$3:F$66)+sumif('Season Stats'!$B$3:$B$66, "Sammy Katz",'Season Stats'!F$3:F$66)</f>
        <v>4</v>
      </c>
      <c r="G27" s="37">
        <f>sumif('Season Stats'!$B$3:$B$66,"Giacomo Pugliese",'Season Stats'!G$3:G$66)+sumif('Season Stats'!$B$3:$B$66, "Sammy Katz",'Season Stats'!G$3:G$66)</f>
        <v>11</v>
      </c>
      <c r="H27" s="37">
        <f>sumif('Season Stats'!$B$3:$B$66,"Giacomo Pugliese",'Season Stats'!H$3:H$66)+sumif('Season Stats'!$B$3:$B$66, "Sammy Katz",'Season Stats'!H$3:H$66)</f>
        <v>0</v>
      </c>
      <c r="I27" s="37">
        <f>sumif('Season Stats'!$B$3:$B$66,"Giacomo Pugliese",'Season Stats'!I$3:I$66)+sumif('Season Stats'!$B$3:$B$66, "Sammy Katz",'Season Stats'!I$3:I$66)</f>
        <v>0</v>
      </c>
      <c r="J27" s="37">
        <f>sumif('Season Stats'!$B$3:$B$66,"Giacomo Pugliese",'Season Stats'!J$3:J$66)+sumif('Season Stats'!$B$3:$B$66, "Sammy Katz",'Season Stats'!J$3:J$66)</f>
        <v>0</v>
      </c>
      <c r="K27" s="37">
        <f>sumif('Season Stats'!$B$3:$B$66,"Giacomo Pugliese",'Season Stats'!K$3:K$66)+sumif('Season Stats'!$B$3:$B$66, "Sammy Katz",'Season Stats'!K$3:K$66)</f>
        <v>0</v>
      </c>
      <c r="L27" s="27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ht="31.5" customHeight="1">
      <c r="A28" s="25"/>
      <c r="B28" s="35" t="s">
        <v>38</v>
      </c>
      <c r="C28" s="36">
        <f t="shared" si="1"/>
        <v>0.2027027027</v>
      </c>
      <c r="D28" s="37">
        <f>sumif('Season Stats'!$B$3:$B$66,"Everett Schroeder",'Season Stats'!D$3:D$66)+sumif('Season Stats'!$B$3:$B$66, "Henry Lewis",'Season Stats'!D$3:D$66)</f>
        <v>30</v>
      </c>
      <c r="E28" s="37">
        <f>sumif('Season Stats'!$B$3:$B$66,"Everett Schroeder",'Season Stats'!E$3:E$66)+sumif('Season Stats'!$B$3:$B$66, "Henry Lewis",'Season Stats'!E$3:E$66)</f>
        <v>118</v>
      </c>
      <c r="F28" s="37">
        <f>sumif('Season Stats'!$B$3:$B$66,"Everett Schroeder",'Season Stats'!F$3:F$66)+sumif('Season Stats'!$B$3:$B$66, "Henry Lewis",'Season Stats'!F$3:F$66)</f>
        <v>14</v>
      </c>
      <c r="G28" s="37">
        <f>sumif('Season Stats'!$B$3:$B$66,"Everett Schroeder",'Season Stats'!G$3:G$66)+sumif('Season Stats'!$B$3:$B$66, "Henry Lewis",'Season Stats'!G$3:G$66)</f>
        <v>4</v>
      </c>
      <c r="H28" s="37">
        <f>sumif('Season Stats'!$B$3:$B$66,"Everett Schroeder",'Season Stats'!H$3:H$66)+sumif('Season Stats'!$B$3:$B$66, "Henry Lewis",'Season Stats'!H$3:H$66)</f>
        <v>0</v>
      </c>
      <c r="I28" s="37">
        <f>sumif('Season Stats'!$B$3:$B$66,"Everett Schroeder",'Season Stats'!I$3:I$66)+sumif('Season Stats'!$B$3:$B$66, "Henry Lewis",'Season Stats'!I$3:I$66)</f>
        <v>0</v>
      </c>
      <c r="J28" s="37">
        <f>sumif('Season Stats'!$B$3:$B$66,"Everett Schroeder",'Season Stats'!J$3:J$66)+sumif('Season Stats'!$B$3:$B$66, "Henry Lewis",'Season Stats'!J$3:J$66)</f>
        <v>0</v>
      </c>
      <c r="K28" s="37">
        <f>sumif('Season Stats'!$B$3:$B$66,"Everett Schroeder",'Season Stats'!K$3:K$66)+sumif('Season Stats'!$B$3:$B$66, "Henry Lewis",'Season Stats'!K$3:K$66)</f>
        <v>1</v>
      </c>
      <c r="L28" s="27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ht="31.5" customHeight="1">
      <c r="A29" s="25"/>
      <c r="B29" s="35" t="s">
        <v>147</v>
      </c>
      <c r="C29" s="36">
        <f t="shared" si="1"/>
        <v>0.2</v>
      </c>
      <c r="D29" s="37">
        <f>sumif('Season Stats'!$B$3:$B$66,"Andrew Plumpton",'Season Stats'!D$3:D$66)+sumif('Season Stats'!$B$3:$B$66, "Jack Voelker",'Season Stats'!D$3:D$66)</f>
        <v>13</v>
      </c>
      <c r="E29" s="37">
        <f>sumif('Season Stats'!$B$3:$B$66,"Andrew Plumpton",'Season Stats'!E$3:E$66)+sumif('Season Stats'!$B$3:$B$66, "Jack Voelker",'Season Stats'!E$3:E$66)</f>
        <v>52</v>
      </c>
      <c r="F29" s="37">
        <f>sumif('Season Stats'!$B$3:$B$66,"Andrew Plumpton",'Season Stats'!F$3:F$66)+sumif('Season Stats'!$B$3:$B$66, "Jack Voelker",'Season Stats'!F$3:F$66)</f>
        <v>3</v>
      </c>
      <c r="G29" s="37">
        <f>sumif('Season Stats'!$B$3:$B$66,"Andrew Plumpton",'Season Stats'!G$3:G$66)+sumif('Season Stats'!$B$3:$B$66, "Jack Voelker",'Season Stats'!G$3:G$66)</f>
        <v>2</v>
      </c>
      <c r="H29" s="37">
        <f>sumif('Season Stats'!$B$3:$B$66,"Andrew Plumpton",'Season Stats'!H$3:H$66)+sumif('Season Stats'!$B$3:$B$66, "Jack Voelker",'Season Stats'!H$3:H$66)</f>
        <v>1</v>
      </c>
      <c r="I29" s="37">
        <f>sumif('Season Stats'!$B$3:$B$66,"Andrew Plumpton",'Season Stats'!I$3:I$66)+sumif('Season Stats'!$B$3:$B$66, "Jack Voelker",'Season Stats'!I$3:I$66)</f>
        <v>0</v>
      </c>
      <c r="J29" s="37">
        <f>sumif('Season Stats'!$B$3:$B$66,"Andrew Plumpton",'Season Stats'!J$3:J$66)+sumif('Season Stats'!$B$3:$B$66, "Jack Voelker",'Season Stats'!J$3:J$66)</f>
        <v>0</v>
      </c>
      <c r="K29" s="37">
        <f>sumif('Season Stats'!$B$3:$B$66,"Andrew Plumpton",'Season Stats'!K$3:K$66)+sumif('Season Stats'!$B$3:$B$66, "Jack Voelker",'Season Stats'!K$3:K$66)</f>
        <v>0</v>
      </c>
      <c r="L29" s="27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ht="31.5" customHeight="1">
      <c r="A30" s="25"/>
      <c r="B30" s="35" t="s">
        <v>35</v>
      </c>
      <c r="C30" s="36">
        <f t="shared" si="1"/>
        <v>0.1813953488</v>
      </c>
      <c r="D30" s="37">
        <f>sumif('Season Stats'!$B$3:$B$66,"Reed Schoenfeld",'Season Stats'!D$3:D$66)+sumif('Season Stats'!$B$3:$B$66, "Pranav Ravulapati",'Season Stats'!D$3:D$66)</f>
        <v>39</v>
      </c>
      <c r="E30" s="37">
        <f>sumif('Season Stats'!$B$3:$B$66,"Reed Schoenfeld",'Season Stats'!E$3:E$66)+sumif('Season Stats'!$B$3:$B$66, "Pranav Ravulapati",'Season Stats'!E$3:E$66)</f>
        <v>176</v>
      </c>
      <c r="F30" s="37">
        <f>sumif('Season Stats'!$B$3:$B$66,"Reed Schoenfeld",'Season Stats'!F$3:F$66)+sumif('Season Stats'!$B$3:$B$66, "Pranav Ravulapati",'Season Stats'!F$3:F$66)</f>
        <v>1</v>
      </c>
      <c r="G30" s="37">
        <f>sumif('Season Stats'!$B$3:$B$66,"Reed Schoenfeld",'Season Stats'!G$3:G$66)+sumif('Season Stats'!$B$3:$B$66, "Pranav Ravulapati",'Season Stats'!G$3:G$66)</f>
        <v>16</v>
      </c>
      <c r="H30" s="37">
        <f>sumif('Season Stats'!$B$3:$B$66,"Reed Schoenfeld",'Season Stats'!H$3:H$66)+sumif('Season Stats'!$B$3:$B$66, "Pranav Ravulapati",'Season Stats'!H$3:H$66)</f>
        <v>0</v>
      </c>
      <c r="I30" s="37">
        <f>sumif('Season Stats'!$B$3:$B$66,"Reed Schoenfeld",'Season Stats'!I$3:I$66)+sumif('Season Stats'!$B$3:$B$66, "Pranav Ravulapati",'Season Stats'!I$3:I$66)</f>
        <v>0</v>
      </c>
      <c r="J30" s="37">
        <f>sumif('Season Stats'!$B$3:$B$66,"Reed Schoenfeld",'Season Stats'!J$3:J$66)+sumif('Season Stats'!$B$3:$B$66, "Pranav Ravulapati",'Season Stats'!J$3:J$66)</f>
        <v>0</v>
      </c>
      <c r="K30" s="37">
        <f>sumif('Season Stats'!$B$3:$B$66,"Reed Schoenfeld",'Season Stats'!K$3:K$66)+sumif('Season Stats'!$B$3:$B$66, "Pranav Ravulapati",'Season Stats'!K$3:K$66)</f>
        <v>0</v>
      </c>
      <c r="L30" s="27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ht="31.5" customHeight="1">
      <c r="A31" s="25"/>
      <c r="B31" s="35" t="s">
        <v>148</v>
      </c>
      <c r="C31" s="36">
        <f t="shared" si="1"/>
        <v>0.1772151899</v>
      </c>
      <c r="D31" s="37">
        <f>sumif('Season Stats'!$B$3:$B$66,"Camden Reeves",'Season Stats'!D$3:D$66)+sumif('Season Stats'!$B$3:$B$66, "Gabriel Hamoui",'Season Stats'!D$3:D$66)</f>
        <v>28</v>
      </c>
      <c r="E31" s="37">
        <f>sumif('Season Stats'!$B$3:$B$66,"Camden Reeves",'Season Stats'!E$3:E$66)+sumif('Season Stats'!$B$3:$B$66, "Gabriel Hamoui",'Season Stats'!E$3:E$66)</f>
        <v>130</v>
      </c>
      <c r="F31" s="37">
        <f>sumif('Season Stats'!$B$3:$B$66,"Camden Reeves",'Season Stats'!F$3:F$66)+sumif('Season Stats'!$B$3:$B$66, "Gabriel Hamoui",'Season Stats'!F$3:F$66)</f>
        <v>6</v>
      </c>
      <c r="G31" s="37">
        <f>sumif('Season Stats'!$B$3:$B$66,"Camden Reeves",'Season Stats'!G$3:G$66)+sumif('Season Stats'!$B$3:$B$66, "Gabriel Hamoui",'Season Stats'!G$3:G$66)</f>
        <v>7</v>
      </c>
      <c r="H31" s="37">
        <f>sumif('Season Stats'!$B$3:$B$66,"Camden Reeves",'Season Stats'!H$3:H$66)+sumif('Season Stats'!$B$3:$B$66, "Gabriel Hamoui",'Season Stats'!H$3:H$66)</f>
        <v>2</v>
      </c>
      <c r="I31" s="37">
        <f>sumif('Season Stats'!$B$3:$B$66,"Camden Reeves",'Season Stats'!I$3:I$66)+sumif('Season Stats'!$B$3:$B$66, "Gabriel Hamoui",'Season Stats'!I$3:I$66)</f>
        <v>0</v>
      </c>
      <c r="J31" s="37">
        <f>sumif('Season Stats'!$B$3:$B$66,"Camden Reeves",'Season Stats'!J$3:J$66)+sumif('Season Stats'!$B$3:$B$66, "Gabriel Hamoui",'Season Stats'!J$3:J$66)</f>
        <v>0</v>
      </c>
      <c r="K31" s="37">
        <f>sumif('Season Stats'!$B$3:$B$66,"Camden Reeves",'Season Stats'!K$3:K$66)+sumif('Season Stats'!$B$3:$B$66, "Gabriel Hamoui",'Season Stats'!K$3:K$66)</f>
        <v>0</v>
      </c>
      <c r="L31" s="27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ht="31.5" customHeight="1">
      <c r="A32" s="25"/>
      <c r="B32" s="35" t="s">
        <v>18</v>
      </c>
      <c r="C32" s="36">
        <f t="shared" si="1"/>
        <v>0.17</v>
      </c>
      <c r="D32" s="37">
        <f>sumif('Season Stats'!$B$3:$B$66,"Zach Bashour",'Season Stats'!D$3:D$66)+sumif('Season Stats'!$B$3:$B$66, "Grant Mullen",'Season Stats'!D$3:D$66)</f>
        <v>34</v>
      </c>
      <c r="E32" s="37">
        <f>sumif('Season Stats'!$B$3:$B$66,"Zach Bashour",'Season Stats'!E$3:E$66)+sumif('Season Stats'!$B$3:$B$66, "Grant Mullen",'Season Stats'!E$3:E$66)</f>
        <v>166</v>
      </c>
      <c r="F32" s="37">
        <f>sumif('Season Stats'!$B$3:$B$66,"Zach Bashour",'Season Stats'!F$3:F$66)+sumif('Season Stats'!$B$3:$B$66, "Grant Mullen",'Season Stats'!F$3:F$66)</f>
        <v>1</v>
      </c>
      <c r="G32" s="37">
        <f>sumif('Season Stats'!$B$3:$B$66,"Zach Bashour",'Season Stats'!G$3:G$66)+sumif('Season Stats'!$B$3:$B$66, "Grant Mullen",'Season Stats'!G$3:G$66)</f>
        <v>11</v>
      </c>
      <c r="H32" s="37">
        <f>sumif('Season Stats'!$B$3:$B$66,"Zach Bashour",'Season Stats'!H$3:H$66)+sumif('Season Stats'!$B$3:$B$66, "Grant Mullen",'Season Stats'!H$3:H$66)</f>
        <v>0</v>
      </c>
      <c r="I32" s="37">
        <f>sumif('Season Stats'!$B$3:$B$66,"Zach Bashour",'Season Stats'!I$3:I$66)+sumif('Season Stats'!$B$3:$B$66, "Grant Mullen",'Season Stats'!I$3:I$66)</f>
        <v>0</v>
      </c>
      <c r="J32" s="37">
        <f>sumif('Season Stats'!$B$3:$B$66,"Zach Bashour",'Season Stats'!J$3:J$66)+sumif('Season Stats'!$B$3:$B$66, "Grant Mullen",'Season Stats'!J$3:J$66)</f>
        <v>0</v>
      </c>
      <c r="K32" s="37">
        <f>sumif('Season Stats'!$B$3:$B$66,"Zach Bashour",'Season Stats'!K$3:K$66)+sumif('Season Stats'!$B$3:$B$66, "Grant Mullen",'Season Stats'!K$3:K$66)</f>
        <v>0</v>
      </c>
      <c r="L32" s="27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ht="31.5" customHeight="1">
      <c r="A33" s="25"/>
      <c r="B33" s="35" t="s">
        <v>149</v>
      </c>
      <c r="C33" s="36">
        <f t="shared" si="1"/>
        <v>0.1690140845</v>
      </c>
      <c r="D33" s="37">
        <f>sumif('Season Stats'!$B$3:$B$66,"PJ Ogilvie",'Season Stats'!D$3:D$66)+sumif('Season Stats'!$B$3:$B$66, "Chris Connors",'Season Stats'!D$3:D$66)</f>
        <v>12</v>
      </c>
      <c r="E33" s="37">
        <f>sumif('Season Stats'!$B$3:$B$66,"PJ Ogilvie",'Season Stats'!E$3:E$66)+sumif('Season Stats'!$B$3:$B$66, "Chris Connors",'Season Stats'!E$3:E$66)</f>
        <v>59</v>
      </c>
      <c r="F33" s="37">
        <f>sumif('Season Stats'!$B$3:$B$66,"PJ Ogilvie",'Season Stats'!F$3:F$66)+sumif('Season Stats'!$B$3:$B$66, "Chris Connors",'Season Stats'!F$3:F$66)</f>
        <v>3</v>
      </c>
      <c r="G33" s="37">
        <f>sumif('Season Stats'!$B$3:$B$66,"PJ Ogilvie",'Season Stats'!G$3:G$66)+sumif('Season Stats'!$B$3:$B$66, "Chris Connors",'Season Stats'!G$3:G$66)</f>
        <v>2</v>
      </c>
      <c r="H33" s="37">
        <f>sumif('Season Stats'!$B$3:$B$66,"PJ Ogilvie",'Season Stats'!H$3:H$66)+sumif('Season Stats'!$B$3:$B$66, "Chris Connors",'Season Stats'!H$3:H$66)</f>
        <v>1</v>
      </c>
      <c r="I33" s="37">
        <f>sumif('Season Stats'!$B$3:$B$66,"PJ Ogilvie",'Season Stats'!I$3:I$66)+sumif('Season Stats'!$B$3:$B$66, "Chris Connors",'Season Stats'!I$3:I$66)</f>
        <v>0</v>
      </c>
      <c r="J33" s="37">
        <f>sumif('Season Stats'!$B$3:$B$66,"PJ Ogilvie",'Season Stats'!J$3:J$66)+sumif('Season Stats'!$B$3:$B$66, "Chris Connors",'Season Stats'!J$3:J$66)</f>
        <v>0</v>
      </c>
      <c r="K33" s="37">
        <f>sumif('Season Stats'!$B$3:$B$66,"PJ Ogilvie",'Season Stats'!K$3:K$66)+sumif('Season Stats'!$B$3:$B$66, "Chris Connors",'Season Stats'!K$3:K$66)</f>
        <v>0</v>
      </c>
      <c r="L33" s="27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ht="31.5" customHeight="1">
      <c r="A34" s="25"/>
      <c r="B34" s="35" t="s">
        <v>13</v>
      </c>
      <c r="C34" s="36">
        <f t="shared" si="1"/>
        <v>0.1652892562</v>
      </c>
      <c r="D34" s="37">
        <f>sumif('Season Stats'!$B$3:$B$66,"Ben Curtis",'Season Stats'!D$3:D$66)+sumif('Season Stats'!$B$3:$B$66, "Jack Ronilo",'Season Stats'!D$3:D$66)</f>
        <v>20</v>
      </c>
      <c r="E34" s="37">
        <f>sumif('Season Stats'!$B$3:$B$66,"Ben Curtis",'Season Stats'!E$3:E$66)+sumif('Season Stats'!$B$3:$B$66, "Jack Ronilo",'Season Stats'!E$3:E$66)</f>
        <v>101</v>
      </c>
      <c r="F34" s="37">
        <f>sumif('Season Stats'!$B$3:$B$66,"Ben Curtis",'Season Stats'!F$3:F$66)+sumif('Season Stats'!$B$3:$B$66, "Jack Ronilo",'Season Stats'!F$3:F$66)</f>
        <v>3</v>
      </c>
      <c r="G34" s="37">
        <f>sumif('Season Stats'!$B$3:$B$66,"Ben Curtis",'Season Stats'!G$3:G$66)+sumif('Season Stats'!$B$3:$B$66, "Jack Ronilo",'Season Stats'!G$3:G$66)</f>
        <v>8</v>
      </c>
      <c r="H34" s="37">
        <f>sumif('Season Stats'!$B$3:$B$66,"Ben Curtis",'Season Stats'!H$3:H$66)+sumif('Season Stats'!$B$3:$B$66, "Jack Ronilo",'Season Stats'!H$3:H$66)</f>
        <v>1</v>
      </c>
      <c r="I34" s="37">
        <f>sumif('Season Stats'!$B$3:$B$66,"Ben Curtis",'Season Stats'!I$3:I$66)+sumif('Season Stats'!$B$3:$B$66, "Jack Ronilo",'Season Stats'!I$3:I$66)</f>
        <v>0</v>
      </c>
      <c r="J34" s="37">
        <f>sumif('Season Stats'!$B$3:$B$66,"Ben Curtis",'Season Stats'!J$3:J$66)+sumif('Season Stats'!$B$3:$B$66, "Jack Ronilo",'Season Stats'!J$3:J$66)</f>
        <v>0</v>
      </c>
      <c r="K34" s="37">
        <f>sumif('Season Stats'!$B$3:$B$66,"Ben Curtis",'Season Stats'!K$3:K$66)+sumif('Season Stats'!$B$3:$B$66, "Jack Ronilo",'Season Stats'!K$3:K$66)</f>
        <v>0</v>
      </c>
      <c r="L34" s="27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ht="31.5" customHeight="1">
      <c r="A35" s="25"/>
      <c r="B35" s="35"/>
      <c r="C35" s="36"/>
      <c r="D35" s="37"/>
      <c r="E35" s="37"/>
      <c r="F35" s="37"/>
      <c r="G35" s="37"/>
      <c r="H35" s="37"/>
      <c r="I35" s="37"/>
      <c r="J35" s="37"/>
      <c r="K35" s="37"/>
      <c r="L35" s="27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>
      <c r="A36" s="25"/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27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>
      <c r="A37" s="25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27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>
      <c r="A38" s="25"/>
      <c r="C38" s="39"/>
      <c r="D38" s="39"/>
      <c r="E38" s="39"/>
      <c r="F38" s="39"/>
      <c r="G38" s="39"/>
      <c r="H38" s="39"/>
      <c r="I38" s="39"/>
      <c r="J38" s="39"/>
      <c r="K38" s="39"/>
      <c r="L38" s="27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>
      <c r="A39" s="25"/>
      <c r="B39" s="38"/>
      <c r="C39" s="39"/>
      <c r="D39" s="39"/>
      <c r="E39" s="39"/>
      <c r="F39" s="39"/>
      <c r="G39" s="39"/>
      <c r="H39" s="39"/>
      <c r="I39" s="39"/>
      <c r="J39" s="39"/>
      <c r="K39" s="39"/>
      <c r="L39" s="27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>
      <c r="A40" s="25"/>
      <c r="C40" s="39"/>
      <c r="D40" s="39"/>
      <c r="E40" s="39"/>
      <c r="F40" s="39"/>
      <c r="G40" s="39"/>
      <c r="H40" s="39"/>
      <c r="I40" s="39"/>
      <c r="J40" s="39"/>
      <c r="K40" s="39"/>
      <c r="L40" s="27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>
      <c r="A41" s="25"/>
      <c r="B41" s="38"/>
      <c r="C41" s="39"/>
      <c r="D41" s="39"/>
      <c r="E41" s="39"/>
      <c r="F41" s="39"/>
      <c r="G41" s="39"/>
      <c r="H41" s="39"/>
      <c r="I41" s="39"/>
      <c r="J41" s="39"/>
      <c r="K41" s="39"/>
      <c r="L41" s="27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>
      <c r="A42" s="25"/>
      <c r="C42" s="39"/>
      <c r="D42" s="39"/>
      <c r="E42" s="39"/>
      <c r="F42" s="39"/>
      <c r="G42" s="39"/>
      <c r="H42" s="39"/>
      <c r="I42" s="39"/>
      <c r="J42" s="39"/>
      <c r="K42" s="39"/>
      <c r="L42" s="27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>
      <c r="A43" s="32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</sheetData>
  <dataValidations>
    <dataValidation type="custom" allowBlank="1" showDropDown="1" sqref="C3:C35">
      <formula1>AND(ISNUMBER(C3),(NOT(OR(NOT(ISERROR(DATEVALUE(C3))), AND(ISNUMBER(C3), LEFT(CELL("format", C3))="D")))))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5"/>
    <col customWidth="1" min="2" max="2" width="23.5"/>
    <col customWidth="1" min="3" max="3" width="17.13"/>
    <col customWidth="1" min="4" max="6" width="14.5"/>
    <col customWidth="1" min="7" max="11" width="10.13"/>
    <col customWidth="1" min="12" max="12" width="4.0"/>
  </cols>
  <sheetData>
    <row r="1" ht="16.5" customHeight="1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ht="20.25" customHeight="1">
      <c r="A2" s="25"/>
      <c r="B2" s="26" t="s">
        <v>63</v>
      </c>
      <c r="C2" s="26" t="s">
        <v>64</v>
      </c>
      <c r="D2" s="26" t="s">
        <v>65</v>
      </c>
      <c r="E2" s="26" t="s">
        <v>66</v>
      </c>
      <c r="F2" s="26" t="s">
        <v>67</v>
      </c>
      <c r="G2" s="26" t="s">
        <v>68</v>
      </c>
      <c r="H2" s="26" t="s">
        <v>69</v>
      </c>
      <c r="I2" s="26" t="s">
        <v>70</v>
      </c>
      <c r="J2" s="26" t="s">
        <v>71</v>
      </c>
      <c r="K2" s="26" t="s">
        <v>72</v>
      </c>
      <c r="L2" s="27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ht="22.5" customHeight="1">
      <c r="A3" s="28"/>
      <c r="B3" s="40" t="s">
        <v>96</v>
      </c>
      <c r="C3" s="41">
        <f t="shared" ref="C3:C34" si="1">IFERROR((D3/(D3+E3)),0)</f>
        <v>0.3333333333</v>
      </c>
      <c r="D3" s="42">
        <f>6+6</f>
        <v>12</v>
      </c>
      <c r="E3" s="42">
        <f>11+13</f>
        <v>24</v>
      </c>
      <c r="F3" s="42">
        <v>1.0</v>
      </c>
      <c r="G3" s="42">
        <v>2.0</v>
      </c>
      <c r="H3" s="42">
        <v>0.0</v>
      </c>
      <c r="I3" s="42">
        <v>0.0</v>
      </c>
      <c r="J3" s="42">
        <v>0.0</v>
      </c>
      <c r="K3" s="42">
        <v>0.0</v>
      </c>
      <c r="L3" s="27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ht="22.5" customHeight="1">
      <c r="A4" s="25"/>
      <c r="B4" s="40" t="s">
        <v>76</v>
      </c>
      <c r="C4" s="41">
        <f t="shared" si="1"/>
        <v>0.3333333333</v>
      </c>
      <c r="D4" s="42">
        <f>6+5</f>
        <v>11</v>
      </c>
      <c r="E4" s="42">
        <f>6+16</f>
        <v>22</v>
      </c>
      <c r="F4" s="42">
        <v>1.0</v>
      </c>
      <c r="G4" s="42">
        <v>2.0</v>
      </c>
      <c r="H4" s="42">
        <v>0.0</v>
      </c>
      <c r="I4" s="42">
        <v>0.0</v>
      </c>
      <c r="J4" s="42">
        <v>0.0</v>
      </c>
      <c r="K4" s="42">
        <v>0.0</v>
      </c>
      <c r="L4" s="27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ht="22.5" customHeight="1">
      <c r="A5" s="25"/>
      <c r="B5" s="35" t="s">
        <v>90</v>
      </c>
      <c r="C5" s="36">
        <f t="shared" si="1"/>
        <v>0.3243243243</v>
      </c>
      <c r="D5" s="42">
        <f>7+5</f>
        <v>12</v>
      </c>
      <c r="E5" s="42">
        <f>11+14</f>
        <v>25</v>
      </c>
      <c r="F5" s="42">
        <v>2.0</v>
      </c>
      <c r="G5" s="42">
        <f>1+1</f>
        <v>2</v>
      </c>
      <c r="H5" s="42">
        <v>0.0</v>
      </c>
      <c r="I5" s="42">
        <v>0.0</v>
      </c>
      <c r="J5" s="42">
        <v>0.0</v>
      </c>
      <c r="K5" s="42">
        <v>0.0</v>
      </c>
      <c r="L5" s="27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ht="22.5" customHeight="1">
      <c r="A6" s="25"/>
      <c r="B6" s="35" t="s">
        <v>73</v>
      </c>
      <c r="C6" s="36">
        <f t="shared" si="1"/>
        <v>0.3125</v>
      </c>
      <c r="D6" s="42">
        <v>5.0</v>
      </c>
      <c r="E6" s="42">
        <v>11.0</v>
      </c>
      <c r="F6" s="42">
        <v>1.0</v>
      </c>
      <c r="G6" s="42">
        <v>2.0</v>
      </c>
      <c r="H6" s="42">
        <v>1.0</v>
      </c>
      <c r="I6" s="42">
        <v>0.0</v>
      </c>
      <c r="J6" s="42">
        <v>0.0</v>
      </c>
      <c r="K6" s="42">
        <v>0.0</v>
      </c>
      <c r="L6" s="27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ht="22.5" customHeight="1">
      <c r="A7" s="25"/>
      <c r="B7" s="40" t="s">
        <v>99</v>
      </c>
      <c r="C7" s="41">
        <f t="shared" si="1"/>
        <v>0.3103448276</v>
      </c>
      <c r="D7" s="42">
        <f>6+3</f>
        <v>9</v>
      </c>
      <c r="E7" s="42">
        <f>9+11</f>
        <v>20</v>
      </c>
      <c r="F7" s="42">
        <v>2.0</v>
      </c>
      <c r="G7" s="42">
        <v>1.0</v>
      </c>
      <c r="H7" s="42">
        <v>0.0</v>
      </c>
      <c r="I7" s="42">
        <v>0.0</v>
      </c>
      <c r="J7" s="42">
        <v>0.0</v>
      </c>
      <c r="K7" s="42">
        <v>0.0</v>
      </c>
      <c r="L7" s="27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ht="22.5" customHeight="1">
      <c r="A8" s="25"/>
      <c r="B8" s="40" t="s">
        <v>121</v>
      </c>
      <c r="C8" s="41">
        <f t="shared" si="1"/>
        <v>0.2941176471</v>
      </c>
      <c r="D8" s="42">
        <v>5.0</v>
      </c>
      <c r="E8" s="42">
        <v>12.0</v>
      </c>
      <c r="F8" s="42">
        <v>2.0</v>
      </c>
      <c r="G8" s="42">
        <v>0.0</v>
      </c>
      <c r="H8" s="42">
        <v>0.0</v>
      </c>
      <c r="I8" s="42">
        <v>0.0</v>
      </c>
      <c r="J8" s="42">
        <v>0.0</v>
      </c>
      <c r="K8" s="42">
        <v>0.0</v>
      </c>
      <c r="L8" s="27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ht="22.5" customHeight="1">
      <c r="A9" s="25"/>
      <c r="B9" s="40" t="s">
        <v>83</v>
      </c>
      <c r="C9" s="41">
        <f t="shared" si="1"/>
        <v>0.2941176471</v>
      </c>
      <c r="D9" s="42">
        <v>5.0</v>
      </c>
      <c r="E9" s="42">
        <v>12.0</v>
      </c>
      <c r="F9" s="42">
        <v>1.0</v>
      </c>
      <c r="G9" s="42">
        <v>0.0</v>
      </c>
      <c r="H9" s="42">
        <v>0.0</v>
      </c>
      <c r="I9" s="42">
        <v>0.0</v>
      </c>
      <c r="J9" s="42">
        <v>0.0</v>
      </c>
      <c r="K9" s="42">
        <v>0.0</v>
      </c>
      <c r="L9" s="27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ht="22.5" customHeight="1">
      <c r="A10" s="25"/>
      <c r="B10" s="35" t="s">
        <v>74</v>
      </c>
      <c r="C10" s="36">
        <f t="shared" si="1"/>
        <v>0.2777777778</v>
      </c>
      <c r="D10" s="42">
        <v>5.0</v>
      </c>
      <c r="E10" s="42">
        <v>13.0</v>
      </c>
      <c r="F10" s="42">
        <v>1.0</v>
      </c>
      <c r="G10" s="42">
        <v>0.0</v>
      </c>
      <c r="H10" s="42">
        <v>0.0</v>
      </c>
      <c r="I10" s="42">
        <v>0.0</v>
      </c>
      <c r="J10" s="42">
        <v>0.0</v>
      </c>
      <c r="K10" s="42">
        <v>0.0</v>
      </c>
      <c r="L10" s="27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ht="22.5" customHeight="1">
      <c r="A11" s="25"/>
      <c r="B11" s="35" t="s">
        <v>82</v>
      </c>
      <c r="C11" s="36">
        <f t="shared" si="1"/>
        <v>0.2702702703</v>
      </c>
      <c r="D11" s="42">
        <f>6+4</f>
        <v>10</v>
      </c>
      <c r="E11" s="42">
        <f>15+12</f>
        <v>27</v>
      </c>
      <c r="F11" s="42">
        <v>2.0</v>
      </c>
      <c r="G11" s="42">
        <f t="shared" ref="G11:G12" si="2">1+1</f>
        <v>2</v>
      </c>
      <c r="H11" s="42">
        <v>0.0</v>
      </c>
      <c r="I11" s="42">
        <v>0.0</v>
      </c>
      <c r="J11" s="42">
        <v>0.0</v>
      </c>
      <c r="K11" s="42">
        <v>0.0</v>
      </c>
      <c r="L11" s="27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ht="22.5" customHeight="1">
      <c r="A12" s="25"/>
      <c r="B12" s="40" t="s">
        <v>81</v>
      </c>
      <c r="C12" s="41">
        <f t="shared" si="1"/>
        <v>0.2666666667</v>
      </c>
      <c r="D12" s="42">
        <f>4+4</f>
        <v>8</v>
      </c>
      <c r="E12" s="42">
        <f>12+10</f>
        <v>22</v>
      </c>
      <c r="F12" s="42">
        <v>1.0</v>
      </c>
      <c r="G12" s="42">
        <f t="shared" si="2"/>
        <v>2</v>
      </c>
      <c r="H12" s="42">
        <v>1.0</v>
      </c>
      <c r="I12" s="42">
        <v>0.0</v>
      </c>
      <c r="J12" s="42">
        <v>0.0</v>
      </c>
      <c r="K12" s="42">
        <v>0.0</v>
      </c>
      <c r="L12" s="27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ht="22.5" customHeight="1">
      <c r="A13" s="25"/>
      <c r="B13" s="40" t="s">
        <v>86</v>
      </c>
      <c r="C13" s="41">
        <f t="shared" si="1"/>
        <v>0.2666666667</v>
      </c>
      <c r="D13" s="42">
        <v>4.0</v>
      </c>
      <c r="E13" s="42">
        <v>11.0</v>
      </c>
      <c r="F13" s="42">
        <v>1.0</v>
      </c>
      <c r="G13" s="42">
        <v>0.0</v>
      </c>
      <c r="H13" s="42">
        <v>0.0</v>
      </c>
      <c r="I13" s="42">
        <v>0.0</v>
      </c>
      <c r="J13" s="42">
        <v>0.0</v>
      </c>
      <c r="K13" s="42">
        <v>0.0</v>
      </c>
      <c r="L13" s="27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ht="22.5" customHeight="1">
      <c r="A14" s="25"/>
      <c r="B14" s="40" t="s">
        <v>85</v>
      </c>
      <c r="C14" s="41">
        <f t="shared" si="1"/>
        <v>0.2424242424</v>
      </c>
      <c r="D14" s="42">
        <f t="shared" ref="D14:D15" si="3">4+4</f>
        <v>8</v>
      </c>
      <c r="E14" s="42">
        <f>8+17</f>
        <v>25</v>
      </c>
      <c r="F14" s="42">
        <v>3.0</v>
      </c>
      <c r="G14" s="42">
        <v>0.0</v>
      </c>
      <c r="H14" s="42">
        <v>0.0</v>
      </c>
      <c r="I14" s="42">
        <v>0.0</v>
      </c>
      <c r="J14" s="42">
        <v>0.0</v>
      </c>
      <c r="K14" s="42">
        <v>0.0</v>
      </c>
      <c r="L14" s="27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ht="22.5" customHeight="1">
      <c r="A15" s="25"/>
      <c r="B15" s="40" t="s">
        <v>89</v>
      </c>
      <c r="C15" s="41">
        <f t="shared" si="1"/>
        <v>0.2352941176</v>
      </c>
      <c r="D15" s="42">
        <f t="shared" si="3"/>
        <v>8</v>
      </c>
      <c r="E15" s="42">
        <f>12+14</f>
        <v>26</v>
      </c>
      <c r="F15" s="42">
        <v>2.0</v>
      </c>
      <c r="G15" s="42">
        <v>1.0</v>
      </c>
      <c r="H15" s="42">
        <v>0.0</v>
      </c>
      <c r="I15" s="42">
        <v>0.0</v>
      </c>
      <c r="J15" s="42">
        <v>0.0</v>
      </c>
      <c r="K15" s="42">
        <v>0.0</v>
      </c>
      <c r="L15" s="27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ht="22.5" customHeight="1">
      <c r="A16" s="25"/>
      <c r="B16" s="35" t="s">
        <v>112</v>
      </c>
      <c r="C16" s="36">
        <f t="shared" si="1"/>
        <v>0.225</v>
      </c>
      <c r="D16" s="42">
        <f>5+4</f>
        <v>9</v>
      </c>
      <c r="E16" s="42">
        <f>13+18</f>
        <v>31</v>
      </c>
      <c r="F16" s="42">
        <v>0.0</v>
      </c>
      <c r="G16" s="42">
        <v>1.0</v>
      </c>
      <c r="H16" s="42">
        <v>0.0</v>
      </c>
      <c r="I16" s="42">
        <v>0.0</v>
      </c>
      <c r="J16" s="42">
        <v>0.0</v>
      </c>
      <c r="K16" s="42">
        <v>1.0</v>
      </c>
      <c r="L16" s="27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ht="22.5" customHeight="1">
      <c r="A17" s="25"/>
      <c r="B17" s="35" t="s">
        <v>91</v>
      </c>
      <c r="C17" s="36">
        <f t="shared" si="1"/>
        <v>0.2222222222</v>
      </c>
      <c r="D17" s="42">
        <f>5+7</f>
        <v>12</v>
      </c>
      <c r="E17" s="42">
        <f>25+17</f>
        <v>42</v>
      </c>
      <c r="F17" s="42">
        <f>8+1</f>
        <v>9</v>
      </c>
      <c r="G17" s="42">
        <f>1+2</f>
        <v>3</v>
      </c>
      <c r="H17" s="42">
        <v>0.0</v>
      </c>
      <c r="I17" s="42">
        <v>0.0</v>
      </c>
      <c r="J17" s="42">
        <v>0.0</v>
      </c>
      <c r="K17" s="42">
        <v>0.0</v>
      </c>
      <c r="L17" s="27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ht="22.5" customHeight="1">
      <c r="A18" s="25"/>
      <c r="B18" s="35" t="s">
        <v>94</v>
      </c>
      <c r="C18" s="36">
        <f t="shared" si="1"/>
        <v>0.2195121951</v>
      </c>
      <c r="D18" s="42">
        <f>5+4</f>
        <v>9</v>
      </c>
      <c r="E18" s="42">
        <f>13+19</f>
        <v>32</v>
      </c>
      <c r="F18" s="42">
        <f>1+3</f>
        <v>4</v>
      </c>
      <c r="G18" s="42">
        <v>0.0</v>
      </c>
      <c r="H18" s="42">
        <v>0.0</v>
      </c>
      <c r="I18" s="42">
        <v>0.0</v>
      </c>
      <c r="J18" s="42">
        <v>0.0</v>
      </c>
      <c r="K18" s="42">
        <v>0.0</v>
      </c>
      <c r="L18" s="27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ht="22.5" customHeight="1">
      <c r="A19" s="25"/>
      <c r="B19" s="35" t="s">
        <v>100</v>
      </c>
      <c r="C19" s="36">
        <f t="shared" si="1"/>
        <v>0.2162162162</v>
      </c>
      <c r="D19" s="42">
        <f>4+4</f>
        <v>8</v>
      </c>
      <c r="E19" s="42">
        <f>17+12</f>
        <v>29</v>
      </c>
      <c r="F19" s="42">
        <v>2.0</v>
      </c>
      <c r="G19" s="42">
        <v>0.0</v>
      </c>
      <c r="H19" s="42">
        <v>0.0</v>
      </c>
      <c r="I19" s="42">
        <v>0.0</v>
      </c>
      <c r="J19" s="42">
        <v>0.0</v>
      </c>
      <c r="K19" s="42">
        <v>0.0</v>
      </c>
      <c r="L19" s="27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ht="22.5" customHeight="1">
      <c r="A20" s="25"/>
      <c r="B20" s="35" t="s">
        <v>106</v>
      </c>
      <c r="C20" s="36">
        <f t="shared" si="1"/>
        <v>0.2162162162</v>
      </c>
      <c r="D20" s="42">
        <f>3+5</f>
        <v>8</v>
      </c>
      <c r="E20" s="42">
        <f>15+14</f>
        <v>29</v>
      </c>
      <c r="F20" s="42">
        <v>2.0</v>
      </c>
      <c r="G20" s="42">
        <v>1.0</v>
      </c>
      <c r="H20" s="42">
        <v>0.0</v>
      </c>
      <c r="I20" s="42">
        <v>0.0</v>
      </c>
      <c r="J20" s="42">
        <v>0.0</v>
      </c>
      <c r="K20" s="42">
        <v>0.0</v>
      </c>
      <c r="L20" s="27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ht="22.5" customHeight="1">
      <c r="A21" s="25"/>
      <c r="B21" s="40" t="s">
        <v>127</v>
      </c>
      <c r="C21" s="41">
        <f t="shared" si="1"/>
        <v>0.2142857143</v>
      </c>
      <c r="D21" s="42">
        <v>3.0</v>
      </c>
      <c r="E21" s="42">
        <v>11.0</v>
      </c>
      <c r="F21" s="42">
        <v>0.0</v>
      </c>
      <c r="G21" s="42">
        <v>1.0</v>
      </c>
      <c r="H21" s="42">
        <v>0.0</v>
      </c>
      <c r="I21" s="42">
        <v>0.0</v>
      </c>
      <c r="J21" s="42">
        <v>0.0</v>
      </c>
      <c r="K21" s="42">
        <v>0.0</v>
      </c>
      <c r="L21" s="27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ht="22.5" customHeight="1">
      <c r="A22" s="25"/>
      <c r="B22" s="40" t="s">
        <v>92</v>
      </c>
      <c r="C22" s="41">
        <f t="shared" si="1"/>
        <v>0.2068965517</v>
      </c>
      <c r="D22" s="42">
        <v>6.0</v>
      </c>
      <c r="E22" s="42">
        <v>23.0</v>
      </c>
      <c r="F22" s="42">
        <v>1.0</v>
      </c>
      <c r="G22" s="42">
        <v>3.0</v>
      </c>
      <c r="H22" s="42">
        <v>0.0</v>
      </c>
      <c r="I22" s="42">
        <v>0.0</v>
      </c>
      <c r="J22" s="42">
        <v>0.0</v>
      </c>
      <c r="K22" s="42">
        <v>0.0</v>
      </c>
      <c r="L22" s="27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ht="22.5" customHeight="1">
      <c r="A23" s="25"/>
      <c r="B23" s="35" t="s">
        <v>130</v>
      </c>
      <c r="C23" s="36">
        <f t="shared" si="1"/>
        <v>0.1904761905</v>
      </c>
      <c r="D23" s="42">
        <v>4.0</v>
      </c>
      <c r="E23" s="42">
        <v>17.0</v>
      </c>
      <c r="F23" s="42">
        <v>1.0</v>
      </c>
      <c r="G23" s="42">
        <v>0.0</v>
      </c>
      <c r="H23" s="42">
        <v>0.0</v>
      </c>
      <c r="I23" s="42">
        <v>0.0</v>
      </c>
      <c r="J23" s="42">
        <v>0.0</v>
      </c>
      <c r="K23" s="42">
        <v>0.0</v>
      </c>
      <c r="L23" s="27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ht="22.5" customHeight="1">
      <c r="A24" s="25"/>
      <c r="B24" s="40" t="s">
        <v>110</v>
      </c>
      <c r="C24" s="41">
        <f t="shared" si="1"/>
        <v>0.1875</v>
      </c>
      <c r="D24" s="42">
        <v>3.0</v>
      </c>
      <c r="E24" s="42">
        <v>13.0</v>
      </c>
      <c r="F24" s="42">
        <v>0.0</v>
      </c>
      <c r="G24" s="42">
        <v>0.0</v>
      </c>
      <c r="H24" s="42">
        <v>0.0</v>
      </c>
      <c r="I24" s="42">
        <v>0.0</v>
      </c>
      <c r="J24" s="42">
        <v>0.0</v>
      </c>
      <c r="K24" s="42">
        <v>0.0</v>
      </c>
      <c r="L24" s="27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ht="22.5" customHeight="1">
      <c r="A25" s="25"/>
      <c r="B25" s="40" t="s">
        <v>122</v>
      </c>
      <c r="C25" s="41">
        <f t="shared" si="1"/>
        <v>0.1785714286</v>
      </c>
      <c r="D25" s="42">
        <v>5.0</v>
      </c>
      <c r="E25" s="42">
        <v>23.0</v>
      </c>
      <c r="F25" s="42">
        <v>0.0</v>
      </c>
      <c r="G25" s="42">
        <v>1.0</v>
      </c>
      <c r="H25" s="42">
        <v>0.0</v>
      </c>
      <c r="I25" s="42">
        <v>0.0</v>
      </c>
      <c r="J25" s="42">
        <v>0.0</v>
      </c>
      <c r="K25" s="42">
        <v>0.0</v>
      </c>
      <c r="L25" s="27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ht="22.5" customHeight="1">
      <c r="A26" s="25"/>
      <c r="B26" s="35" t="s">
        <v>84</v>
      </c>
      <c r="C26" s="36">
        <f t="shared" si="1"/>
        <v>0.1764705882</v>
      </c>
      <c r="D26" s="42">
        <v>3.0</v>
      </c>
      <c r="E26" s="42">
        <v>14.0</v>
      </c>
      <c r="F26" s="42">
        <v>1.0</v>
      </c>
      <c r="G26" s="42">
        <v>3.0</v>
      </c>
      <c r="H26" s="42">
        <v>0.0</v>
      </c>
      <c r="I26" s="42">
        <v>0.0</v>
      </c>
      <c r="J26" s="42">
        <v>0.0</v>
      </c>
      <c r="K26" s="42">
        <v>0.0</v>
      </c>
      <c r="L26" s="27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ht="22.5" customHeight="1">
      <c r="A27" s="25"/>
      <c r="B27" s="35" t="s">
        <v>116</v>
      </c>
      <c r="C27" s="36">
        <f t="shared" si="1"/>
        <v>0.1739130435</v>
      </c>
      <c r="D27" s="42">
        <f>5+3</f>
        <v>8</v>
      </c>
      <c r="E27" s="42">
        <f>22+16</f>
        <v>38</v>
      </c>
      <c r="F27" s="42">
        <v>2.0</v>
      </c>
      <c r="G27" s="42">
        <f t="shared" ref="G27:H27" si="4">1+1</f>
        <v>2</v>
      </c>
      <c r="H27" s="42">
        <f t="shared" si="4"/>
        <v>2</v>
      </c>
      <c r="I27" s="42">
        <v>0.0</v>
      </c>
      <c r="J27" s="42">
        <v>0.0</v>
      </c>
      <c r="K27" s="42">
        <v>0.0</v>
      </c>
      <c r="L27" s="27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ht="22.5" customHeight="1">
      <c r="A28" s="25"/>
      <c r="B28" s="35" t="s">
        <v>95</v>
      </c>
      <c r="C28" s="36">
        <f t="shared" si="1"/>
        <v>0.1666666667</v>
      </c>
      <c r="D28" s="42">
        <v>3.0</v>
      </c>
      <c r="E28" s="42">
        <v>15.0</v>
      </c>
      <c r="F28" s="42">
        <v>0.0</v>
      </c>
      <c r="G28" s="42">
        <v>0.0</v>
      </c>
      <c r="H28" s="42">
        <v>0.0</v>
      </c>
      <c r="I28" s="42">
        <v>0.0</v>
      </c>
      <c r="J28" s="42">
        <v>0.0</v>
      </c>
      <c r="K28" s="42">
        <v>0.0</v>
      </c>
      <c r="L28" s="27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ht="22.5" customHeight="1">
      <c r="A29" s="25"/>
      <c r="B29" s="40" t="s">
        <v>128</v>
      </c>
      <c r="C29" s="41">
        <f t="shared" si="1"/>
        <v>0.1481481481</v>
      </c>
      <c r="D29" s="42">
        <v>4.0</v>
      </c>
      <c r="E29" s="42">
        <v>23.0</v>
      </c>
      <c r="F29" s="42">
        <v>0.0</v>
      </c>
      <c r="G29" s="42">
        <v>2.0</v>
      </c>
      <c r="H29" s="42">
        <v>0.0</v>
      </c>
      <c r="I29" s="42">
        <v>0.0</v>
      </c>
      <c r="J29" s="42">
        <v>0.0</v>
      </c>
      <c r="K29" s="42">
        <v>0.0</v>
      </c>
      <c r="L29" s="27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ht="22.5" customHeight="1">
      <c r="A30" s="25"/>
      <c r="B30" s="35" t="s">
        <v>136</v>
      </c>
      <c r="C30" s="36">
        <f t="shared" si="1"/>
        <v>0.1481481481</v>
      </c>
      <c r="D30" s="42">
        <f>5+3</f>
        <v>8</v>
      </c>
      <c r="E30" s="42">
        <f>25+21</f>
        <v>46</v>
      </c>
      <c r="F30" s="42">
        <v>2.0</v>
      </c>
      <c r="G30" s="42">
        <f>2+5</f>
        <v>7</v>
      </c>
      <c r="H30" s="42">
        <v>0.0</v>
      </c>
      <c r="I30" s="42">
        <v>0.0</v>
      </c>
      <c r="J30" s="42">
        <v>0.0</v>
      </c>
      <c r="K30" s="42">
        <v>0.0</v>
      </c>
      <c r="L30" s="27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ht="22.5" customHeight="1">
      <c r="A31" s="25"/>
      <c r="B31" s="40" t="s">
        <v>124</v>
      </c>
      <c r="C31" s="41">
        <f t="shared" si="1"/>
        <v>0.1034482759</v>
      </c>
      <c r="D31" s="42">
        <v>3.0</v>
      </c>
      <c r="E31" s="42">
        <v>26.0</v>
      </c>
      <c r="F31" s="42">
        <v>1.0</v>
      </c>
      <c r="G31" s="42">
        <v>3.0</v>
      </c>
      <c r="H31" s="42">
        <v>0.0</v>
      </c>
      <c r="I31" s="42">
        <v>0.0</v>
      </c>
      <c r="J31" s="42">
        <v>0.0</v>
      </c>
      <c r="K31" s="42">
        <v>0.0</v>
      </c>
      <c r="L31" s="27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ht="22.5" customHeight="1">
      <c r="A32" s="25"/>
      <c r="B32" s="35" t="s">
        <v>133</v>
      </c>
      <c r="C32" s="36">
        <f t="shared" si="1"/>
        <v>0.08888888889</v>
      </c>
      <c r="D32" s="42">
        <f>2+2</f>
        <v>4</v>
      </c>
      <c r="E32" s="42">
        <f>24+17</f>
        <v>41</v>
      </c>
      <c r="F32" s="42">
        <f>1</f>
        <v>1</v>
      </c>
      <c r="G32" s="42">
        <f>1+1</f>
        <v>2</v>
      </c>
      <c r="H32" s="42">
        <v>0.0</v>
      </c>
      <c r="I32" s="42">
        <v>0.0</v>
      </c>
      <c r="J32" s="42">
        <v>0.0</v>
      </c>
      <c r="K32" s="42">
        <v>0.0</v>
      </c>
      <c r="L32" s="27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ht="22.5" customHeight="1">
      <c r="A33" s="25"/>
      <c r="B33" s="35" t="s">
        <v>108</v>
      </c>
      <c r="C33" s="36">
        <f t="shared" si="1"/>
        <v>0.0625</v>
      </c>
      <c r="D33" s="42">
        <v>1.0</v>
      </c>
      <c r="E33" s="42">
        <v>15.0</v>
      </c>
      <c r="F33" s="42">
        <v>0.0</v>
      </c>
      <c r="G33" s="42">
        <v>1.0</v>
      </c>
      <c r="H33" s="42">
        <v>0.0</v>
      </c>
      <c r="I33" s="42">
        <v>0.0</v>
      </c>
      <c r="J33" s="42">
        <v>0.0</v>
      </c>
      <c r="K33" s="42">
        <v>0.0</v>
      </c>
      <c r="L33" s="27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ht="22.5" customHeight="1">
      <c r="A34" s="25"/>
      <c r="B34" s="35" t="s">
        <v>129</v>
      </c>
      <c r="C34" s="36">
        <f t="shared" si="1"/>
        <v>0.04761904762</v>
      </c>
      <c r="D34" s="42">
        <v>1.0</v>
      </c>
      <c r="E34" s="42">
        <v>20.0</v>
      </c>
      <c r="F34" s="42">
        <v>0.0</v>
      </c>
      <c r="G34" s="42">
        <v>2.0</v>
      </c>
      <c r="H34" s="42">
        <v>0.0</v>
      </c>
      <c r="I34" s="42">
        <v>0.0</v>
      </c>
      <c r="J34" s="42">
        <v>0.0</v>
      </c>
      <c r="K34" s="42">
        <v>0.0</v>
      </c>
      <c r="L34" s="27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>
      <c r="A35" s="25"/>
      <c r="B35" s="38"/>
      <c r="C35" s="39"/>
      <c r="D35" s="39"/>
      <c r="E35" s="39"/>
      <c r="F35" s="39"/>
      <c r="G35" s="39"/>
      <c r="H35" s="39"/>
      <c r="I35" s="39"/>
      <c r="J35" s="39"/>
      <c r="K35" s="39"/>
      <c r="L35" s="27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>
      <c r="A36" s="25"/>
      <c r="C36" s="39"/>
      <c r="D36" s="39"/>
      <c r="E36" s="39"/>
      <c r="F36" s="39"/>
      <c r="G36" s="39"/>
      <c r="H36" s="39"/>
      <c r="I36" s="39"/>
      <c r="J36" s="39"/>
      <c r="K36" s="39"/>
      <c r="L36" s="27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>
      <c r="A37" s="25"/>
      <c r="C37" s="39"/>
      <c r="D37" s="39"/>
      <c r="E37" s="39"/>
      <c r="F37" s="39"/>
      <c r="G37" s="39"/>
      <c r="H37" s="39"/>
      <c r="I37" s="39"/>
      <c r="J37" s="39"/>
      <c r="K37" s="39"/>
      <c r="L37" s="27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>
      <c r="A38" s="32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</sheetData>
  <dataValidations>
    <dataValidation type="custom" allowBlank="1" showDropDown="1" sqref="C3:C34">
      <formula1>AND(ISNUMBER(C3),(NOT(OR(NOT(ISERROR(DATEVALUE(C3))), AND(ISNUMBER(C3), LEFT(CELL("format", C3))="D")))))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.88"/>
    <col customWidth="1" min="3" max="3" width="17.63"/>
    <col customWidth="1" min="4" max="4" width="1.38"/>
    <col customWidth="1" min="5" max="5" width="3.88"/>
    <col customWidth="1" min="6" max="6" width="17.63"/>
    <col customWidth="1" min="7" max="7" width="1.38"/>
    <col customWidth="1" min="8" max="8" width="3.88"/>
    <col customWidth="1" min="9" max="9" width="17.63"/>
    <col customWidth="1" min="10" max="10" width="3.88"/>
    <col customWidth="1" min="11" max="11" width="17.63"/>
    <col customWidth="1" min="12" max="12" width="3.88"/>
    <col customWidth="1" min="13" max="13" width="17.63"/>
    <col customWidth="1" min="14" max="14" width="3.88"/>
    <col customWidth="1" min="15" max="15" width="1.38"/>
    <col customWidth="1" min="16" max="16" width="17.63"/>
    <col customWidth="1" min="17" max="17" width="3.88"/>
    <col customWidth="1" min="18" max="18" width="1.38"/>
    <col customWidth="1" min="19" max="19" width="17.63"/>
    <col customWidth="1" min="20" max="20" width="3.88"/>
    <col customWidth="1" min="21" max="21" width="3.25"/>
  </cols>
  <sheetData>
    <row r="1" ht="17.25" customHeight="1">
      <c r="A1" s="43"/>
      <c r="B1" s="44" t="s">
        <v>150</v>
      </c>
      <c r="C1" s="45"/>
      <c r="D1" s="46"/>
      <c r="E1" s="44" t="s">
        <v>151</v>
      </c>
      <c r="F1" s="45"/>
      <c r="G1" s="46"/>
      <c r="H1" s="44" t="s">
        <v>152</v>
      </c>
      <c r="I1" s="45"/>
      <c r="J1" s="47"/>
      <c r="K1" s="48" t="s">
        <v>153</v>
      </c>
      <c r="L1" s="47"/>
      <c r="M1" s="49" t="str">
        <f>H1</f>
        <v>Final 4</v>
      </c>
      <c r="N1" s="45"/>
      <c r="O1" s="46"/>
      <c r="P1" s="49" t="str">
        <f>E1</f>
        <v>Elite 8</v>
      </c>
      <c r="Q1" s="45"/>
      <c r="R1" s="46"/>
      <c r="S1" s="49" t="str">
        <f>B1</f>
        <v>Sweet 16</v>
      </c>
      <c r="T1" s="45"/>
      <c r="U1" s="50"/>
      <c r="V1" s="51"/>
      <c r="W1" s="51"/>
      <c r="X1" s="51"/>
      <c r="Y1" s="51"/>
      <c r="Z1" s="51"/>
      <c r="AA1" s="51"/>
    </row>
    <row r="2" ht="17.25" customHeight="1">
      <c r="A2" s="52"/>
      <c r="B2" s="53"/>
      <c r="C2" s="54"/>
      <c r="D2" s="55"/>
      <c r="E2" s="56"/>
      <c r="F2" s="55"/>
      <c r="G2" s="55"/>
      <c r="H2" s="56"/>
      <c r="I2" s="55"/>
      <c r="J2" s="56"/>
      <c r="K2" s="55"/>
      <c r="L2" s="56"/>
      <c r="M2" s="55"/>
      <c r="N2" s="56"/>
      <c r="O2" s="55"/>
      <c r="P2" s="55"/>
      <c r="Q2" s="56"/>
      <c r="R2" s="55"/>
      <c r="S2" s="54"/>
      <c r="T2" s="53"/>
      <c r="U2" s="57"/>
      <c r="V2" s="58"/>
      <c r="W2" s="58"/>
      <c r="X2" s="58"/>
      <c r="Y2" s="58"/>
      <c r="Z2" s="58"/>
      <c r="AA2" s="58"/>
    </row>
    <row r="3" ht="17.25" customHeight="1">
      <c r="A3" s="59"/>
      <c r="B3" s="60" t="b">
        <v>1</v>
      </c>
      <c r="C3" s="61" t="s">
        <v>154</v>
      </c>
      <c r="D3" s="62"/>
      <c r="E3" s="56"/>
      <c r="F3" s="55"/>
      <c r="G3" s="55"/>
      <c r="H3" s="56"/>
      <c r="I3" s="55"/>
      <c r="J3" s="56"/>
      <c r="K3" s="55"/>
      <c r="L3" s="56"/>
      <c r="M3" s="55"/>
      <c r="N3" s="56"/>
      <c r="O3" s="55"/>
      <c r="P3" s="55"/>
      <c r="Q3" s="56"/>
      <c r="R3" s="63"/>
      <c r="S3" s="64" t="s">
        <v>155</v>
      </c>
      <c r="T3" s="65" t="b">
        <v>0</v>
      </c>
      <c r="U3" s="57"/>
      <c r="V3" s="58"/>
      <c r="W3" s="58"/>
      <c r="X3" s="58"/>
      <c r="Y3" s="58"/>
      <c r="Z3" s="58"/>
      <c r="AA3" s="58"/>
    </row>
    <row r="4" ht="17.25" customHeight="1">
      <c r="A4" s="59"/>
      <c r="B4" s="66" t="b">
        <v>0</v>
      </c>
      <c r="C4" s="67" t="s">
        <v>156</v>
      </c>
      <c r="D4" s="62"/>
      <c r="E4" s="56"/>
      <c r="F4" s="55"/>
      <c r="G4" s="55"/>
      <c r="H4" s="56"/>
      <c r="I4" s="55"/>
      <c r="J4" s="68" t="s">
        <v>157</v>
      </c>
      <c r="K4" s="69"/>
      <c r="L4" s="70"/>
      <c r="M4" s="55"/>
      <c r="N4" s="56"/>
      <c r="O4" s="55"/>
      <c r="P4" s="55"/>
      <c r="Q4" s="56"/>
      <c r="R4" s="63"/>
      <c r="S4" s="71" t="s">
        <v>158</v>
      </c>
      <c r="T4" s="72" t="b">
        <v>1</v>
      </c>
      <c r="U4" s="57"/>
      <c r="V4" s="58"/>
      <c r="W4" s="58"/>
      <c r="X4" s="58"/>
      <c r="Y4" s="58"/>
      <c r="Z4" s="58"/>
      <c r="AA4" s="58"/>
    </row>
    <row r="5" ht="17.25" customHeight="1">
      <c r="A5" s="73"/>
      <c r="B5" s="56"/>
      <c r="C5" s="55"/>
      <c r="D5" s="62"/>
      <c r="E5" s="56"/>
      <c r="F5" s="55"/>
      <c r="G5" s="55"/>
      <c r="H5" s="56"/>
      <c r="I5" s="55"/>
      <c r="J5" s="74" t="str">
        <f t="array" ref="J5">iferror(vlookup(TRUE,J10:K10,2,False),iferror(VLOOKUP(TRUE,{$L$11,$K$11},2,FALSE), " "))</f>
        <v>(3) Ev/Hulu</v>
      </c>
      <c r="K5" s="75"/>
      <c r="L5" s="76"/>
      <c r="M5" s="55"/>
      <c r="N5" s="56"/>
      <c r="O5" s="55"/>
      <c r="P5" s="55"/>
      <c r="Q5" s="56"/>
      <c r="R5" s="63"/>
      <c r="S5" s="55"/>
      <c r="T5" s="56"/>
      <c r="U5" s="57"/>
      <c r="V5" s="58"/>
      <c r="W5" s="58"/>
      <c r="X5" s="58"/>
      <c r="Y5" s="58"/>
      <c r="Z5" s="58"/>
      <c r="AA5" s="58"/>
    </row>
    <row r="6" ht="17.25" customHeight="1">
      <c r="A6" s="77"/>
      <c r="B6" s="78" t="s">
        <v>159</v>
      </c>
      <c r="C6" s="79"/>
      <c r="D6" s="62"/>
      <c r="E6" s="56"/>
      <c r="F6" s="55"/>
      <c r="G6" s="55"/>
      <c r="H6" s="56"/>
      <c r="I6" s="55"/>
      <c r="J6" s="56"/>
      <c r="K6" s="55"/>
      <c r="L6" s="56"/>
      <c r="M6" s="55"/>
      <c r="N6" s="56"/>
      <c r="O6" s="55"/>
      <c r="P6" s="55"/>
      <c r="Q6" s="56"/>
      <c r="R6" s="63"/>
      <c r="S6" s="80" t="s">
        <v>160</v>
      </c>
      <c r="T6" s="79"/>
      <c r="U6" s="81"/>
      <c r="V6" s="51"/>
      <c r="W6" s="51"/>
      <c r="X6" s="51"/>
      <c r="Y6" s="51"/>
      <c r="Z6" s="51"/>
      <c r="AA6" s="51"/>
    </row>
    <row r="7" ht="17.25" customHeight="1">
      <c r="A7" s="77"/>
      <c r="B7" s="82"/>
      <c r="C7" s="83"/>
      <c r="D7" s="84"/>
      <c r="E7" s="85" t="b">
        <v>0</v>
      </c>
      <c r="F7" s="86" t="str">
        <f>iferror(vlookup(TRUE,B3:C4,2,False),"")</f>
        <v>(1) Brando/Heath</v>
      </c>
      <c r="G7" s="55"/>
      <c r="H7" s="56"/>
      <c r="I7" s="55"/>
      <c r="J7" s="87"/>
      <c r="M7" s="55"/>
      <c r="N7" s="56"/>
      <c r="O7" s="55"/>
      <c r="P7" s="88" t="str">
        <f t="array" ref="P7">iferror(VLOOKUP(TRUE,{$T$3:$T$4,$S$3:$S$4},2,FALSE),"")</f>
        <v>(11) Ford/JP</v>
      </c>
      <c r="Q7" s="89" t="b">
        <v>0</v>
      </c>
      <c r="R7" s="90"/>
      <c r="S7" s="82"/>
      <c r="T7" s="83"/>
      <c r="U7" s="91"/>
      <c r="V7" s="92"/>
      <c r="W7" s="92"/>
      <c r="X7" s="92"/>
      <c r="Y7" s="92"/>
      <c r="Z7" s="92"/>
      <c r="AA7" s="92"/>
    </row>
    <row r="8" ht="17.25" customHeight="1">
      <c r="A8" s="77"/>
      <c r="B8" s="82"/>
      <c r="C8" s="83"/>
      <c r="D8" s="93"/>
      <c r="E8" s="66" t="b">
        <v>1</v>
      </c>
      <c r="F8" s="94" t="str">
        <f>iferror(vlookup(TRUE,B11:C12,2,False),"")</f>
        <v>(9) Mati/Takoa</v>
      </c>
      <c r="G8" s="62"/>
      <c r="H8" s="56"/>
      <c r="I8" s="55"/>
      <c r="J8" s="56"/>
      <c r="M8" s="55"/>
      <c r="N8" s="56"/>
      <c r="O8" s="55"/>
      <c r="P8" s="95" t="str">
        <f t="array" ref="P8">iferror(VLOOKUP(TRUE,{$T$11:$T$12,$S$11:$S$12},2,FALSE),"")</f>
        <v>(3) Ev/Hulu</v>
      </c>
      <c r="Q8" s="72" t="b">
        <v>1</v>
      </c>
      <c r="R8" s="96"/>
      <c r="S8" s="82"/>
      <c r="T8" s="83"/>
      <c r="U8" s="57"/>
      <c r="V8" s="58"/>
      <c r="W8" s="58"/>
      <c r="X8" s="58"/>
      <c r="Y8" s="58"/>
      <c r="Z8" s="58"/>
      <c r="AA8" s="58"/>
    </row>
    <row r="9" ht="17.25" customHeight="1">
      <c r="A9" s="77"/>
      <c r="B9" s="97"/>
      <c r="C9" s="98"/>
      <c r="D9" s="62"/>
      <c r="E9" s="56"/>
      <c r="F9" s="55"/>
      <c r="G9" s="62"/>
      <c r="H9" s="56"/>
      <c r="I9" s="56"/>
      <c r="J9" s="56"/>
      <c r="K9" s="55"/>
      <c r="L9" s="56"/>
      <c r="M9" s="55"/>
      <c r="N9" s="56"/>
      <c r="O9" s="63"/>
      <c r="P9" s="55"/>
      <c r="Q9" s="56"/>
      <c r="R9" s="63"/>
      <c r="S9" s="97"/>
      <c r="T9" s="98"/>
      <c r="U9" s="99"/>
      <c r="V9" s="100"/>
      <c r="W9" s="100"/>
      <c r="X9" s="100"/>
      <c r="Y9" s="100"/>
      <c r="Z9" s="100"/>
      <c r="AA9" s="100"/>
    </row>
    <row r="10" ht="17.25" customHeight="1">
      <c r="A10" s="73"/>
      <c r="B10" s="56"/>
      <c r="C10" s="55"/>
      <c r="D10" s="62"/>
      <c r="E10" s="56"/>
      <c r="F10" s="55"/>
      <c r="G10" s="62"/>
      <c r="H10" s="56"/>
      <c r="I10" s="55"/>
      <c r="J10" s="101" t="b">
        <v>0</v>
      </c>
      <c r="K10" s="102" t="str">
        <f>iferror(vlookup(TRUE,H13:I14,2,False),"")</f>
        <v>(4) Wigs/Boggs</v>
      </c>
      <c r="L10" s="103"/>
      <c r="M10" s="55"/>
      <c r="N10" s="56"/>
      <c r="O10" s="63"/>
      <c r="P10" s="55"/>
      <c r="Q10" s="56"/>
      <c r="R10" s="63"/>
      <c r="S10" s="55"/>
      <c r="T10" s="56"/>
      <c r="U10" s="91"/>
      <c r="V10" s="92"/>
      <c r="W10" s="92"/>
      <c r="X10" s="92"/>
      <c r="Y10" s="92"/>
      <c r="Z10" s="92"/>
      <c r="AA10" s="92"/>
    </row>
    <row r="11" ht="17.25" customHeight="1">
      <c r="A11" s="59"/>
      <c r="B11" s="85" t="b">
        <v>0</v>
      </c>
      <c r="C11" s="104" t="s">
        <v>161</v>
      </c>
      <c r="D11" s="62"/>
      <c r="E11" s="56"/>
      <c r="F11" s="55"/>
      <c r="G11" s="62"/>
      <c r="H11" s="56"/>
      <c r="I11" s="55"/>
      <c r="J11" s="105"/>
      <c r="K11" s="106" t="str">
        <f t="array" ref="K11">iferror(VLOOKUP(TRUE,{$N$13:$N$14,$M$13:$M$14},2,FALSE),"")</f>
        <v>(3) Ev/Hulu</v>
      </c>
      <c r="L11" s="107" t="b">
        <v>1</v>
      </c>
      <c r="M11" s="55"/>
      <c r="N11" s="56"/>
      <c r="O11" s="63"/>
      <c r="P11" s="55"/>
      <c r="Q11" s="56"/>
      <c r="R11" s="63"/>
      <c r="S11" s="108" t="s">
        <v>162</v>
      </c>
      <c r="T11" s="89" t="b">
        <v>1</v>
      </c>
      <c r="U11" s="57"/>
      <c r="V11" s="58"/>
      <c r="W11" s="58"/>
      <c r="X11" s="58"/>
      <c r="Y11" s="58"/>
      <c r="Z11" s="58"/>
      <c r="AA11" s="58"/>
    </row>
    <row r="12" ht="17.25" customHeight="1">
      <c r="A12" s="59"/>
      <c r="B12" s="66" t="b">
        <v>1</v>
      </c>
      <c r="C12" s="67" t="s">
        <v>163</v>
      </c>
      <c r="D12" s="62"/>
      <c r="E12" s="56"/>
      <c r="F12" s="55"/>
      <c r="G12" s="62"/>
      <c r="H12" s="56"/>
      <c r="I12" s="55"/>
      <c r="J12" s="56"/>
      <c r="K12" s="55"/>
      <c r="L12" s="56"/>
      <c r="M12" s="55"/>
      <c r="N12" s="56"/>
      <c r="O12" s="63"/>
      <c r="P12" s="55"/>
      <c r="Q12" s="56"/>
      <c r="R12" s="63"/>
      <c r="S12" s="71" t="s">
        <v>164</v>
      </c>
      <c r="T12" s="72" t="b">
        <v>0</v>
      </c>
      <c r="U12" s="57"/>
      <c r="V12" s="58"/>
      <c r="W12" s="58"/>
      <c r="X12" s="58"/>
      <c r="Y12" s="58"/>
      <c r="Z12" s="58"/>
      <c r="AA12" s="58"/>
    </row>
    <row r="13" ht="17.25" customHeight="1">
      <c r="A13" s="73"/>
      <c r="B13" s="56"/>
      <c r="C13" s="55"/>
      <c r="D13" s="55"/>
      <c r="E13" s="56"/>
      <c r="F13" s="55"/>
      <c r="G13" s="84"/>
      <c r="H13" s="85" t="b">
        <v>0</v>
      </c>
      <c r="I13" s="86" t="str">
        <f>iferror(vlookup(TRUE,E7:F8,2,False),"")</f>
        <v>(9) Mati/Takoa</v>
      </c>
      <c r="J13" s="56"/>
      <c r="K13" s="55"/>
      <c r="L13" s="56"/>
      <c r="M13" s="88" t="str">
        <f t="array" ref="M13">iferror(VLOOKUP(TRUE,{$Q$7:$Q$8,$P$7:$P$8},2,FALSE),"")</f>
        <v>(3) Ev/Hulu</v>
      </c>
      <c r="N13" s="89" t="b">
        <v>1</v>
      </c>
      <c r="O13" s="90"/>
      <c r="P13" s="55"/>
      <c r="Q13" s="56"/>
      <c r="R13" s="55"/>
      <c r="S13" s="55"/>
      <c r="T13" s="56"/>
      <c r="U13" s="57"/>
      <c r="V13" s="58"/>
      <c r="W13" s="58"/>
      <c r="X13" s="58"/>
      <c r="Y13" s="58"/>
      <c r="Z13" s="58"/>
      <c r="AA13" s="58"/>
    </row>
    <row r="14" ht="17.25" customHeight="1">
      <c r="A14" s="73"/>
      <c r="B14" s="56"/>
      <c r="C14" s="55"/>
      <c r="D14" s="55"/>
      <c r="E14" s="56"/>
      <c r="F14" s="55"/>
      <c r="G14" s="93"/>
      <c r="H14" s="66" t="b">
        <v>1</v>
      </c>
      <c r="I14" s="94" t="str">
        <f>iferror(vlookup(TRUE,E19:F20,2,False),"")</f>
        <v>(4) Wigs/Boggs</v>
      </c>
      <c r="J14" s="56"/>
      <c r="K14" s="55"/>
      <c r="L14" s="56"/>
      <c r="M14" s="95" t="str">
        <f t="array" ref="M14">iferror(VLOOKUP(TRUE,{$Q$19:$Q$20,$P$19:$P$20},2,FALSE),"")</f>
        <v>(7) Creamer/Hudson</v>
      </c>
      <c r="N14" s="72" t="b">
        <v>0</v>
      </c>
      <c r="O14" s="96"/>
      <c r="P14" s="55"/>
      <c r="Q14" s="56"/>
      <c r="R14" s="55"/>
      <c r="S14" s="55"/>
      <c r="T14" s="56"/>
      <c r="U14" s="57"/>
      <c r="V14" s="58"/>
      <c r="W14" s="58"/>
      <c r="X14" s="58"/>
      <c r="Y14" s="58"/>
      <c r="Z14" s="58"/>
      <c r="AA14" s="58"/>
    </row>
    <row r="15" ht="17.25" customHeight="1">
      <c r="A15" s="59"/>
      <c r="B15" s="85" t="b">
        <v>0</v>
      </c>
      <c r="C15" s="104" t="s">
        <v>165</v>
      </c>
      <c r="D15" s="62"/>
      <c r="E15" s="56"/>
      <c r="F15" s="55"/>
      <c r="G15" s="62"/>
      <c r="H15" s="56"/>
      <c r="I15" s="55"/>
      <c r="J15" s="56"/>
      <c r="K15" s="55"/>
      <c r="L15" s="56"/>
      <c r="M15" s="55"/>
      <c r="N15" s="56"/>
      <c r="O15" s="63"/>
      <c r="P15" s="55"/>
      <c r="Q15" s="56"/>
      <c r="R15" s="63"/>
      <c r="S15" s="108" t="s">
        <v>166</v>
      </c>
      <c r="T15" s="89" t="b">
        <v>1</v>
      </c>
      <c r="U15" s="57"/>
      <c r="V15" s="58"/>
      <c r="W15" s="58"/>
      <c r="X15" s="58"/>
      <c r="Y15" s="58"/>
      <c r="Z15" s="58"/>
      <c r="AA15" s="58"/>
    </row>
    <row r="16" ht="17.25" customHeight="1">
      <c r="A16" s="59"/>
      <c r="B16" s="66" t="b">
        <v>1</v>
      </c>
      <c r="C16" s="67" t="s">
        <v>167</v>
      </c>
      <c r="D16" s="62"/>
      <c r="E16" s="56"/>
      <c r="F16" s="55"/>
      <c r="G16" s="62"/>
      <c r="H16" s="56"/>
      <c r="I16" s="55"/>
      <c r="J16" s="56"/>
      <c r="K16" s="55"/>
      <c r="L16" s="56"/>
      <c r="M16" s="55"/>
      <c r="N16" s="56"/>
      <c r="O16" s="63"/>
      <c r="P16" s="55"/>
      <c r="Q16" s="56"/>
      <c r="R16" s="63"/>
      <c r="S16" s="71" t="s">
        <v>168</v>
      </c>
      <c r="T16" s="72" t="b">
        <v>0</v>
      </c>
      <c r="U16" s="57"/>
      <c r="V16" s="58"/>
      <c r="W16" s="58"/>
      <c r="X16" s="58"/>
      <c r="Y16" s="58"/>
      <c r="Z16" s="58"/>
      <c r="AA16" s="58"/>
    </row>
    <row r="17" ht="17.25" customHeight="1">
      <c r="A17" s="73"/>
      <c r="B17" s="56"/>
      <c r="C17" s="55"/>
      <c r="D17" s="62"/>
      <c r="E17" s="56"/>
      <c r="F17" s="55"/>
      <c r="G17" s="62"/>
      <c r="H17" s="56"/>
      <c r="I17" s="55"/>
      <c r="J17" s="56"/>
      <c r="K17" s="55"/>
      <c r="L17" s="56"/>
      <c r="M17" s="55"/>
      <c r="N17" s="56"/>
      <c r="O17" s="63"/>
      <c r="P17" s="55"/>
      <c r="Q17" s="56"/>
      <c r="R17" s="63"/>
      <c r="S17" s="55"/>
      <c r="T17" s="56"/>
      <c r="U17" s="57"/>
      <c r="V17" s="58"/>
      <c r="W17" s="58"/>
      <c r="X17" s="58"/>
      <c r="Y17" s="58"/>
      <c r="Z17" s="58"/>
      <c r="AA17" s="58"/>
    </row>
    <row r="18" ht="17.25" customHeight="1">
      <c r="A18" s="77"/>
      <c r="B18" s="109" t="s">
        <v>169</v>
      </c>
      <c r="C18" s="79"/>
      <c r="D18" s="62"/>
      <c r="E18" s="56"/>
      <c r="F18" s="55"/>
      <c r="G18" s="62"/>
      <c r="H18" s="56"/>
      <c r="I18" s="55"/>
      <c r="J18" s="56"/>
      <c r="K18" s="55"/>
      <c r="L18" s="56"/>
      <c r="M18" s="55"/>
      <c r="N18" s="56"/>
      <c r="O18" s="63"/>
      <c r="P18" s="55"/>
      <c r="Q18" s="56"/>
      <c r="R18" s="63"/>
      <c r="S18" s="110" t="s">
        <v>170</v>
      </c>
      <c r="T18" s="79"/>
      <c r="U18" s="57"/>
      <c r="V18" s="58"/>
      <c r="W18" s="58"/>
      <c r="X18" s="58"/>
      <c r="Y18" s="58"/>
      <c r="Z18" s="58"/>
      <c r="AA18" s="58"/>
    </row>
    <row r="19" ht="17.25" customHeight="1">
      <c r="A19" s="77"/>
      <c r="B19" s="82"/>
      <c r="C19" s="83"/>
      <c r="D19" s="84"/>
      <c r="E19" s="85" t="b">
        <v>0</v>
      </c>
      <c r="F19" s="86" t="str">
        <f>iferror(vlookup(TRUE,B15:C16,2,False),"")</f>
        <v>(12) Cam/Ham</v>
      </c>
      <c r="G19" s="62"/>
      <c r="H19" s="56"/>
      <c r="I19" s="55"/>
      <c r="J19" s="56"/>
      <c r="K19" s="55"/>
      <c r="L19" s="56"/>
      <c r="M19" s="55"/>
      <c r="N19" s="56"/>
      <c r="O19" s="63"/>
      <c r="P19" s="88" t="str">
        <f t="array" ref="P19">iferror(VLOOKUP(TRUE,{$T$15:$T$16,$S$15:$S$16},2,FALSE),"")</f>
        <v>(7) Creamer/Hudson</v>
      </c>
      <c r="Q19" s="89" t="b">
        <v>1</v>
      </c>
      <c r="R19" s="90"/>
      <c r="S19" s="82"/>
      <c r="T19" s="83"/>
      <c r="U19" s="57"/>
      <c r="V19" s="58"/>
      <c r="W19" s="58"/>
      <c r="X19" s="58"/>
      <c r="Y19" s="58"/>
      <c r="Z19" s="58"/>
      <c r="AA19" s="58"/>
    </row>
    <row r="20" ht="17.25" customHeight="1">
      <c r="A20" s="77"/>
      <c r="B20" s="82"/>
      <c r="C20" s="83"/>
      <c r="D20" s="93"/>
      <c r="E20" s="66" t="b">
        <v>1</v>
      </c>
      <c r="F20" s="94" t="str">
        <f>iferror(vlookup(TRUE,B23:C24,2,False),"")</f>
        <v>(4) Wigs/Boggs</v>
      </c>
      <c r="G20" s="62"/>
      <c r="H20" s="56"/>
      <c r="I20" s="55"/>
      <c r="J20" s="56"/>
      <c r="K20" s="55"/>
      <c r="L20" s="56"/>
      <c r="M20" s="55"/>
      <c r="N20" s="56"/>
      <c r="O20" s="63"/>
      <c r="P20" s="95" t="str">
        <f t="array" ref="P20">iferror(VLOOKUP(TRUE,{$T$23:$T$24,$S$23:$S$24},2,FALSE),"")</f>
        <v>(2) Pierre/Anson</v>
      </c>
      <c r="Q20" s="72" t="b">
        <v>0</v>
      </c>
      <c r="R20" s="96"/>
      <c r="S20" s="82"/>
      <c r="T20" s="83"/>
      <c r="U20" s="57"/>
      <c r="V20" s="58"/>
      <c r="W20" s="58"/>
      <c r="X20" s="58"/>
      <c r="Y20" s="58"/>
      <c r="Z20" s="58"/>
      <c r="AA20" s="58"/>
    </row>
    <row r="21" ht="17.25" customHeight="1">
      <c r="A21" s="77"/>
      <c r="B21" s="97"/>
      <c r="C21" s="98"/>
      <c r="D21" s="62"/>
      <c r="E21" s="56"/>
      <c r="F21" s="55"/>
      <c r="G21" s="55"/>
      <c r="H21" s="56"/>
      <c r="I21" s="55"/>
      <c r="J21" s="56"/>
      <c r="K21" s="55"/>
      <c r="L21" s="56"/>
      <c r="M21" s="55"/>
      <c r="N21" s="56"/>
      <c r="O21" s="55"/>
      <c r="P21" s="55"/>
      <c r="Q21" s="56"/>
      <c r="R21" s="63"/>
      <c r="S21" s="97"/>
      <c r="T21" s="98"/>
      <c r="U21" s="57"/>
      <c r="V21" s="58"/>
      <c r="W21" s="58"/>
      <c r="X21" s="58"/>
      <c r="Y21" s="58"/>
      <c r="Z21" s="58"/>
      <c r="AA21" s="58"/>
    </row>
    <row r="22" ht="17.25" customHeight="1">
      <c r="A22" s="73"/>
      <c r="B22" s="56"/>
      <c r="C22" s="55"/>
      <c r="D22" s="62"/>
      <c r="E22" s="56"/>
      <c r="F22" s="55"/>
      <c r="G22" s="55"/>
      <c r="H22" s="56"/>
      <c r="I22" s="55"/>
      <c r="J22" s="56"/>
      <c r="K22" s="55"/>
      <c r="L22" s="56"/>
      <c r="M22" s="55"/>
      <c r="N22" s="56"/>
      <c r="O22" s="55"/>
      <c r="P22" s="55"/>
      <c r="Q22" s="56"/>
      <c r="R22" s="63"/>
      <c r="S22" s="55"/>
      <c r="T22" s="56"/>
      <c r="U22" s="57"/>
      <c r="V22" s="58"/>
      <c r="W22" s="58"/>
      <c r="X22" s="58"/>
      <c r="Y22" s="58"/>
      <c r="Z22" s="58"/>
      <c r="AA22" s="58"/>
    </row>
    <row r="23" ht="17.25" customHeight="1">
      <c r="A23" s="59"/>
      <c r="B23" s="85" t="b">
        <v>1</v>
      </c>
      <c r="C23" s="104" t="s">
        <v>171</v>
      </c>
      <c r="D23" s="62"/>
      <c r="E23" s="56"/>
      <c r="F23" s="55"/>
      <c r="G23" s="55"/>
      <c r="H23" s="56"/>
      <c r="I23" s="55"/>
      <c r="J23" s="56"/>
      <c r="K23" s="55"/>
      <c r="L23" s="56"/>
      <c r="M23" s="55"/>
      <c r="N23" s="56"/>
      <c r="O23" s="55"/>
      <c r="P23" s="55"/>
      <c r="Q23" s="56"/>
      <c r="R23" s="63"/>
      <c r="S23" s="108" t="s">
        <v>172</v>
      </c>
      <c r="T23" s="89" t="b">
        <v>1</v>
      </c>
      <c r="U23" s="57"/>
      <c r="V23" s="58"/>
      <c r="W23" s="58"/>
      <c r="X23" s="58"/>
      <c r="Y23" s="58"/>
      <c r="Z23" s="58"/>
      <c r="AA23" s="58"/>
    </row>
    <row r="24" ht="17.25" customHeight="1">
      <c r="A24" s="59"/>
      <c r="B24" s="66" t="b">
        <v>0</v>
      </c>
      <c r="C24" s="67" t="s">
        <v>173</v>
      </c>
      <c r="D24" s="62"/>
      <c r="E24" s="56"/>
      <c r="F24" s="55"/>
      <c r="G24" s="55"/>
      <c r="H24" s="56"/>
      <c r="I24" s="55"/>
      <c r="J24" s="56"/>
      <c r="K24" s="55"/>
      <c r="L24" s="56"/>
      <c r="M24" s="55"/>
      <c r="N24" s="56"/>
      <c r="O24" s="55"/>
      <c r="P24" s="55"/>
      <c r="Q24" s="56"/>
      <c r="R24" s="63"/>
      <c r="S24" s="71" t="s">
        <v>174</v>
      </c>
      <c r="T24" s="72" t="b">
        <v>0</v>
      </c>
      <c r="U24" s="57"/>
      <c r="V24" s="58"/>
      <c r="W24" s="58"/>
      <c r="X24" s="58"/>
      <c r="Y24" s="58"/>
      <c r="Z24" s="58"/>
      <c r="AA24" s="58"/>
    </row>
    <row r="25" ht="17.25" customHeight="1">
      <c r="A25" s="19"/>
      <c r="B25" s="111"/>
      <c r="C25" s="112"/>
      <c r="D25" s="112"/>
      <c r="E25" s="111"/>
      <c r="F25" s="112"/>
      <c r="G25" s="112"/>
      <c r="H25" s="111"/>
      <c r="I25" s="112"/>
      <c r="J25" s="111"/>
      <c r="K25" s="112"/>
      <c r="L25" s="111"/>
      <c r="M25" s="112"/>
      <c r="N25" s="111"/>
      <c r="O25" s="112"/>
      <c r="P25" s="112"/>
      <c r="Q25" s="111"/>
      <c r="R25" s="112"/>
      <c r="S25" s="112"/>
      <c r="T25" s="111"/>
      <c r="U25" s="113"/>
      <c r="V25" s="58"/>
      <c r="W25" s="58"/>
      <c r="X25" s="58"/>
      <c r="Y25" s="58"/>
      <c r="Z25" s="58"/>
      <c r="AA25" s="58"/>
    </row>
    <row r="26" ht="17.25" customHeight="1">
      <c r="A26" s="114"/>
      <c r="B26" s="114"/>
      <c r="C26" s="58"/>
      <c r="D26" s="58"/>
      <c r="E26" s="114"/>
      <c r="F26" s="58"/>
      <c r="G26" s="58"/>
      <c r="H26" s="114"/>
      <c r="I26" s="58"/>
      <c r="J26" s="114"/>
      <c r="K26" s="58"/>
      <c r="L26" s="114"/>
      <c r="M26" s="58"/>
      <c r="N26" s="114"/>
      <c r="O26" s="58"/>
      <c r="P26" s="58"/>
      <c r="Q26" s="114"/>
      <c r="R26" s="58"/>
      <c r="S26" s="58"/>
      <c r="T26" s="114"/>
      <c r="U26" s="58"/>
      <c r="V26" s="58"/>
      <c r="W26" s="58"/>
      <c r="X26" s="58"/>
      <c r="Y26" s="58"/>
      <c r="Z26" s="58"/>
      <c r="AA26" s="58"/>
    </row>
    <row r="27" ht="17.25" customHeight="1">
      <c r="A27" s="114"/>
      <c r="B27" s="114"/>
      <c r="C27" s="58"/>
      <c r="D27" s="58"/>
      <c r="E27" s="114"/>
      <c r="F27" s="58"/>
      <c r="G27" s="58"/>
      <c r="H27" s="114"/>
      <c r="I27" s="58"/>
      <c r="J27" s="114"/>
      <c r="K27" s="58"/>
      <c r="L27" s="114"/>
      <c r="M27" s="58"/>
      <c r="N27" s="114"/>
      <c r="O27" s="58"/>
      <c r="P27" s="58"/>
      <c r="Q27" s="114"/>
      <c r="R27" s="58"/>
      <c r="S27" s="58"/>
      <c r="T27" s="114"/>
      <c r="U27" s="58"/>
      <c r="V27" s="58"/>
      <c r="W27" s="58"/>
      <c r="X27" s="58"/>
      <c r="Y27" s="58"/>
      <c r="Z27" s="58"/>
      <c r="AA27" s="58"/>
    </row>
    <row r="28" ht="17.25" customHeight="1">
      <c r="A28" s="114"/>
      <c r="B28" s="114"/>
      <c r="C28" s="58"/>
      <c r="D28" s="58"/>
      <c r="E28" s="114"/>
      <c r="F28" s="58"/>
      <c r="G28" s="58"/>
      <c r="H28" s="114"/>
      <c r="I28" s="58"/>
      <c r="J28" s="114"/>
      <c r="K28" s="58"/>
      <c r="L28" s="114"/>
      <c r="M28" s="58"/>
      <c r="N28" s="114"/>
      <c r="O28" s="58"/>
      <c r="P28" s="58"/>
      <c r="Q28" s="114"/>
      <c r="R28" s="58"/>
      <c r="S28" s="58"/>
      <c r="T28" s="114"/>
      <c r="U28" s="58"/>
      <c r="V28" s="58"/>
      <c r="W28" s="58"/>
      <c r="X28" s="58"/>
      <c r="Y28" s="58"/>
      <c r="Z28" s="58"/>
      <c r="AA28" s="58"/>
    </row>
    <row r="29" ht="17.25" customHeight="1">
      <c r="A29" s="114"/>
      <c r="B29" s="114"/>
      <c r="C29" s="58"/>
      <c r="D29" s="58"/>
      <c r="E29" s="114"/>
      <c r="F29" s="58"/>
      <c r="G29" s="58"/>
      <c r="H29" s="114"/>
      <c r="I29" s="58"/>
      <c r="J29" s="114"/>
      <c r="K29" s="58"/>
      <c r="L29" s="114"/>
      <c r="M29" s="58"/>
      <c r="N29" s="114"/>
      <c r="O29" s="58"/>
      <c r="P29" s="58"/>
      <c r="Q29" s="114"/>
      <c r="R29" s="58"/>
      <c r="S29" s="58"/>
      <c r="T29" s="114"/>
      <c r="U29" s="58"/>
      <c r="V29" s="58"/>
      <c r="W29" s="58"/>
      <c r="X29" s="58"/>
      <c r="Y29" s="58"/>
      <c r="Z29" s="58"/>
      <c r="AA29" s="58"/>
    </row>
    <row r="30" ht="17.25" customHeight="1">
      <c r="A30" s="114"/>
      <c r="B30" s="114"/>
      <c r="C30" s="58"/>
      <c r="D30" s="58"/>
      <c r="E30" s="114"/>
      <c r="F30" s="58"/>
      <c r="G30" s="58"/>
      <c r="H30" s="114"/>
      <c r="I30" s="58"/>
      <c r="J30" s="114"/>
      <c r="K30" s="58"/>
      <c r="L30" s="114"/>
      <c r="M30" s="58"/>
      <c r="N30" s="114"/>
      <c r="O30" s="58"/>
      <c r="P30" s="58"/>
      <c r="Q30" s="114"/>
      <c r="R30" s="58"/>
      <c r="S30" s="58"/>
      <c r="T30" s="114"/>
      <c r="U30" s="58"/>
      <c r="V30" s="58"/>
      <c r="W30" s="58"/>
      <c r="X30" s="58"/>
      <c r="Y30" s="58"/>
      <c r="Z30" s="58"/>
      <c r="AA30" s="58"/>
    </row>
    <row r="31" ht="17.25" customHeight="1">
      <c r="A31" s="114"/>
      <c r="B31" s="114"/>
      <c r="C31" s="58"/>
      <c r="D31" s="58"/>
      <c r="E31" s="114"/>
      <c r="F31" s="58"/>
      <c r="G31" s="58"/>
      <c r="H31" s="114"/>
      <c r="I31" s="58"/>
      <c r="J31" s="114"/>
      <c r="K31" s="58"/>
      <c r="L31" s="114"/>
      <c r="M31" s="58"/>
      <c r="N31" s="114"/>
      <c r="O31" s="58"/>
      <c r="P31" s="58"/>
      <c r="Q31" s="114"/>
      <c r="R31" s="58"/>
      <c r="S31" s="58"/>
      <c r="T31" s="114"/>
      <c r="U31" s="58"/>
      <c r="V31" s="58"/>
      <c r="W31" s="58"/>
      <c r="X31" s="58"/>
      <c r="Y31" s="58"/>
      <c r="Z31" s="58"/>
      <c r="AA31" s="58"/>
    </row>
    <row r="32" ht="17.25" customHeight="1">
      <c r="A32" s="114"/>
      <c r="B32" s="114"/>
      <c r="C32" s="58"/>
      <c r="D32" s="58"/>
      <c r="E32" s="114"/>
      <c r="F32" s="58"/>
      <c r="G32" s="58"/>
      <c r="H32" s="114"/>
      <c r="I32" s="58"/>
      <c r="J32" s="114"/>
      <c r="K32" s="58"/>
      <c r="L32" s="114"/>
      <c r="M32" s="58"/>
      <c r="N32" s="114"/>
      <c r="O32" s="58"/>
      <c r="P32" s="58"/>
      <c r="Q32" s="114"/>
      <c r="R32" s="58"/>
      <c r="S32" s="58"/>
      <c r="T32" s="114"/>
      <c r="U32" s="58"/>
      <c r="V32" s="58"/>
      <c r="W32" s="58"/>
      <c r="X32" s="58"/>
      <c r="Y32" s="58"/>
      <c r="Z32" s="58"/>
      <c r="AA32" s="58"/>
    </row>
    <row r="33" ht="17.25" customHeight="1">
      <c r="A33" s="114"/>
      <c r="B33" s="114"/>
      <c r="C33" s="58"/>
      <c r="D33" s="58"/>
      <c r="E33" s="114"/>
      <c r="F33" s="58"/>
      <c r="G33" s="58"/>
      <c r="H33" s="114"/>
      <c r="I33" s="58"/>
      <c r="J33" s="114"/>
      <c r="K33" s="58"/>
      <c r="L33" s="114"/>
      <c r="M33" s="58"/>
      <c r="N33" s="114"/>
      <c r="O33" s="58"/>
      <c r="P33" s="58"/>
      <c r="Q33" s="114"/>
      <c r="R33" s="58"/>
      <c r="S33" s="58"/>
      <c r="T33" s="114"/>
      <c r="U33" s="58"/>
      <c r="V33" s="58"/>
      <c r="W33" s="58"/>
      <c r="X33" s="58"/>
      <c r="Y33" s="58"/>
      <c r="Z33" s="58"/>
      <c r="AA33" s="58"/>
    </row>
    <row r="34" ht="17.25" customHeight="1">
      <c r="A34" s="114"/>
      <c r="B34" s="114"/>
      <c r="C34" s="58"/>
      <c r="D34" s="58"/>
      <c r="E34" s="114"/>
      <c r="F34" s="58"/>
      <c r="G34" s="58"/>
      <c r="H34" s="114"/>
      <c r="I34" s="58"/>
      <c r="J34" s="114"/>
      <c r="K34" s="58"/>
      <c r="L34" s="114"/>
      <c r="M34" s="58"/>
      <c r="N34" s="114"/>
      <c r="O34" s="58"/>
      <c r="P34" s="58"/>
      <c r="Q34" s="114"/>
      <c r="R34" s="58"/>
      <c r="S34" s="58"/>
      <c r="T34" s="114"/>
      <c r="U34" s="58"/>
      <c r="V34" s="58"/>
      <c r="W34" s="58"/>
      <c r="X34" s="58"/>
      <c r="Y34" s="58"/>
      <c r="Z34" s="58"/>
      <c r="AA34" s="58"/>
    </row>
    <row r="35" ht="17.25" customHeight="1">
      <c r="A35" s="114"/>
      <c r="B35" s="114"/>
      <c r="C35" s="58"/>
      <c r="D35" s="58"/>
      <c r="E35" s="114"/>
      <c r="F35" s="58"/>
      <c r="G35" s="58"/>
      <c r="H35" s="114"/>
      <c r="I35" s="58"/>
      <c r="J35" s="114"/>
      <c r="K35" s="58"/>
      <c r="L35" s="114"/>
      <c r="M35" s="58"/>
      <c r="N35" s="114"/>
      <c r="O35" s="58"/>
      <c r="P35" s="58"/>
      <c r="Q35" s="114"/>
      <c r="R35" s="58"/>
      <c r="S35" s="58"/>
      <c r="T35" s="114"/>
      <c r="U35" s="58"/>
      <c r="V35" s="58"/>
      <c r="W35" s="58"/>
      <c r="X35" s="58"/>
      <c r="Y35" s="58"/>
      <c r="Z35" s="58"/>
      <c r="AA35" s="58"/>
    </row>
    <row r="36" ht="17.25" customHeight="1">
      <c r="A36" s="114"/>
      <c r="B36" s="114"/>
      <c r="C36" s="58"/>
      <c r="D36" s="58"/>
      <c r="E36" s="114"/>
      <c r="F36" s="58"/>
      <c r="G36" s="58"/>
      <c r="H36" s="114"/>
      <c r="I36" s="58"/>
      <c r="J36" s="114"/>
      <c r="K36" s="58"/>
      <c r="L36" s="114"/>
      <c r="M36" s="58"/>
      <c r="N36" s="114"/>
      <c r="O36" s="58"/>
      <c r="P36" s="58"/>
      <c r="Q36" s="114"/>
      <c r="R36" s="58"/>
      <c r="S36" s="58"/>
      <c r="T36" s="114"/>
      <c r="U36" s="58"/>
      <c r="V36" s="58"/>
      <c r="W36" s="58"/>
      <c r="X36" s="58"/>
      <c r="Y36" s="58"/>
      <c r="Z36" s="58"/>
      <c r="AA36" s="58"/>
    </row>
  </sheetData>
  <mergeCells count="14">
    <mergeCell ref="B1:C1"/>
    <mergeCell ref="B6:C9"/>
    <mergeCell ref="B18:C21"/>
    <mergeCell ref="J5:L5"/>
    <mergeCell ref="J7:L7"/>
    <mergeCell ref="S18:T21"/>
    <mergeCell ref="E1:F1"/>
    <mergeCell ref="H1:I1"/>
    <mergeCell ref="M1:N1"/>
    <mergeCell ref="P1:Q1"/>
    <mergeCell ref="S1:T1"/>
    <mergeCell ref="J4:L4"/>
    <mergeCell ref="S6:T9"/>
    <mergeCell ref="J8:L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175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/>
      <c r="D3" s="128">
        <f t="shared" ref="D3:J3" si="1">SUMPRODUCT(D10:D90,MOD(ROW(D10:D90),2)=0)</f>
        <v>0</v>
      </c>
      <c r="E3" s="128">
        <f t="shared" si="1"/>
        <v>0</v>
      </c>
      <c r="F3" s="128">
        <f t="shared" si="1"/>
        <v>0</v>
      </c>
      <c r="G3" s="128">
        <f t="shared" si="1"/>
        <v>0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/>
      <c r="M3" s="128">
        <f t="shared" ref="M3:S3" si="2">SUMPRODUCT(M10:M90,MOD(ROW(M10:M90),2)=0)</f>
        <v>0</v>
      </c>
      <c r="N3" s="128">
        <f t="shared" si="2"/>
        <v>0</v>
      </c>
      <c r="O3" s="128">
        <f t="shared" si="2"/>
        <v>0</v>
      </c>
      <c r="P3" s="128">
        <f t="shared" si="2"/>
        <v>0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/>
      <c r="D4" s="133">
        <f t="shared" ref="D4:J4" si="3">SUMPRODUCT(D10:D90,MOD(ROW(D10:D90),2))</f>
        <v>0</v>
      </c>
      <c r="E4" s="133">
        <f t="shared" si="3"/>
        <v>0</v>
      </c>
      <c r="F4" s="133">
        <f t="shared" si="3"/>
        <v>0</v>
      </c>
      <c r="G4" s="133">
        <f t="shared" si="3"/>
        <v>0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/>
      <c r="M4" s="133">
        <f t="shared" ref="M4:S4" si="4">SUMPRODUCT(M10:M90,MOD(ROW(M10:M90),2))</f>
        <v>0</v>
      </c>
      <c r="N4" s="133">
        <f t="shared" si="4"/>
        <v>0</v>
      </c>
      <c r="O4" s="133">
        <f t="shared" si="4"/>
        <v>0</v>
      </c>
      <c r="P4" s="133">
        <f t="shared" si="4"/>
        <v>0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/>
      </c>
      <c r="D5" s="137">
        <f t="shared" ref="D5:D6" si="6">IFERROR((E3/(E3+D3)),0)</f>
        <v>0</v>
      </c>
      <c r="K5" s="135"/>
      <c r="L5" s="136" t="str">
        <f t="shared" ref="L5:L6" si="7">IFERROR((L10 &amp;" %"), "")</f>
        <v/>
      </c>
      <c r="M5" s="137">
        <f t="shared" ref="M5:M6" si="8">IFERROR((N3/(N3+M3)),0)</f>
        <v>0</v>
      </c>
      <c r="S5" s="132"/>
      <c r="T5" s="132"/>
      <c r="U5" s="7"/>
    </row>
    <row r="6">
      <c r="A6" s="14"/>
      <c r="B6" s="138"/>
      <c r="C6" s="139" t="str">
        <f t="shared" si="5"/>
        <v/>
      </c>
      <c r="D6" s="140">
        <f t="shared" si="6"/>
        <v>0</v>
      </c>
      <c r="E6" s="141"/>
      <c r="F6" s="141"/>
      <c r="G6" s="141"/>
      <c r="H6" s="141"/>
      <c r="I6" s="141"/>
      <c r="J6" s="141"/>
      <c r="K6" s="138"/>
      <c r="L6" s="139" t="str">
        <f t="shared" si="7"/>
        <v/>
      </c>
      <c r="M6" s="142">
        <f t="shared" si="8"/>
        <v>0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.*)+"")"),"#N/A")</f>
        <v>#N/A</v>
      </c>
      <c r="D10" s="149"/>
      <c r="E10" s="150"/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.*)+"")"),"#N/A")</f>
        <v>#N/A</v>
      </c>
      <c r="M10" s="153"/>
      <c r="N10" s="154"/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.*)+"")"),"#N/A")</f>
        <v>#N/A</v>
      </c>
      <c r="D11" s="149"/>
      <c r="E11" s="154"/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.*)+"")"),"#N/A")</f>
        <v>#N/A</v>
      </c>
      <c r="M11" s="153"/>
      <c r="N11" s="154"/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#N/A</v>
      </c>
      <c r="D12" s="153"/>
      <c r="E12" s="150"/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#N/A</v>
      </c>
      <c r="M12" s="153"/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#N/A</v>
      </c>
      <c r="D13" s="149"/>
      <c r="E13" s="154"/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#N/A</v>
      </c>
      <c r="M13" s="153"/>
      <c r="N13" s="157"/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#N/A</v>
      </c>
      <c r="D14" s="153"/>
      <c r="E14" s="150"/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#N/A</v>
      </c>
      <c r="M14" s="153"/>
      <c r="N14" s="157"/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#N/A</v>
      </c>
      <c r="D15" s="153"/>
      <c r="E15" s="150"/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#N/A</v>
      </c>
      <c r="M15" s="153"/>
      <c r="N15" s="157"/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#N/A</v>
      </c>
      <c r="D16" s="153"/>
      <c r="E16" s="157"/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#N/A</v>
      </c>
      <c r="M16" s="153"/>
      <c r="N16" s="157"/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#N/A</v>
      </c>
      <c r="D17" s="153"/>
      <c r="E17" s="154"/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#N/A</v>
      </c>
      <c r="M17" s="158"/>
      <c r="N17" s="154"/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#N/A</v>
      </c>
      <c r="D18" s="153"/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#N/A</v>
      </c>
      <c r="M18" s="153"/>
      <c r="N18" s="157"/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#N/A</v>
      </c>
      <c r="D19" s="153"/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#N/A</v>
      </c>
      <c r="M19" s="158"/>
      <c r="N19" s="154"/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#N/A</v>
      </c>
      <c r="D20" s="158"/>
      <c r="E20" s="154"/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#N/A</v>
      </c>
      <c r="M20" s="153"/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#N/A</v>
      </c>
      <c r="D21" s="153"/>
      <c r="E21" s="157"/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#N/A</v>
      </c>
      <c r="M21" s="153"/>
      <c r="N21" s="157"/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#N/A</v>
      </c>
      <c r="D22" s="153"/>
      <c r="E22" s="157"/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#N/A</v>
      </c>
      <c r="M22" s="153"/>
      <c r="N22" s="157"/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#N/A</v>
      </c>
      <c r="D23" s="153"/>
      <c r="E23" s="157"/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#N/A</v>
      </c>
      <c r="M23" s="153"/>
      <c r="N23" s="157"/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#N/A</v>
      </c>
      <c r="D24" s="153"/>
      <c r="E24" s="157"/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#N/A</v>
      </c>
      <c r="M24" s="153"/>
      <c r="N24" s="157"/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#N/A</v>
      </c>
      <c r="D25" s="153"/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#N/A</v>
      </c>
      <c r="M25" s="158"/>
      <c r="N25" s="154"/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#N/A</v>
      </c>
      <c r="D26" s="153"/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#N/A</v>
      </c>
      <c r="M26" s="153"/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#N/A</v>
      </c>
      <c r="D27" s="153"/>
      <c r="E27" s="157"/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#N/A</v>
      </c>
      <c r="M27" s="153"/>
      <c r="N27" s="157"/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#N/A</v>
      </c>
      <c r="D28" s="153"/>
      <c r="E28" s="157"/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#N/A</v>
      </c>
      <c r="M28" s="153"/>
      <c r="N28" s="157"/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#N/A</v>
      </c>
      <c r="D29" s="153"/>
      <c r="E29" s="157"/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#N/A</v>
      </c>
      <c r="M29" s="153"/>
      <c r="N29" s="157"/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#N/A</v>
      </c>
      <c r="D30" s="153"/>
      <c r="E30" s="157"/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#N/A</v>
      </c>
      <c r="M30" s="153"/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#N/A</v>
      </c>
      <c r="D31" s="153"/>
      <c r="E31" s="157"/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#N/A</v>
      </c>
      <c r="M31" s="158"/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#N/A</v>
      </c>
      <c r="D32" s="153"/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#N/A</v>
      </c>
      <c r="M32" s="153"/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#N/A</v>
      </c>
      <c r="D33" s="153"/>
      <c r="E33" s="157"/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#N/A</v>
      </c>
      <c r="M33" s="158"/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#N/A</v>
      </c>
      <c r="D34" s="153"/>
      <c r="E34" s="157"/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#N/A</v>
      </c>
      <c r="M34" s="153"/>
      <c r="N34" s="157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#N/A</v>
      </c>
      <c r="D35" s="153"/>
      <c r="E35" s="157"/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#N/A</v>
      </c>
      <c r="M35" s="153"/>
      <c r="N35" s="157"/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#N/A</v>
      </c>
      <c r="D36" s="153"/>
      <c r="E36" s="157"/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#N/A</v>
      </c>
      <c r="M36" s="153"/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#N/A</v>
      </c>
      <c r="D37" s="153"/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#N/A</v>
      </c>
      <c r="M37" s="153"/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#N/A</v>
      </c>
      <c r="D38" s="153"/>
      <c r="E38" s="157"/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#N/A</v>
      </c>
      <c r="M38" s="153"/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#N/A</v>
      </c>
      <c r="D39" s="153"/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#N/A</v>
      </c>
      <c r="M39" s="153"/>
      <c r="N39" s="157"/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#N/A</v>
      </c>
      <c r="D40" s="159"/>
      <c r="E40" s="160"/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#N/A</v>
      </c>
      <c r="M40" s="153"/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#N/A</v>
      </c>
      <c r="D41" s="159"/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#N/A</v>
      </c>
      <c r="M41" s="158"/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#N/A</v>
      </c>
      <c r="D42" s="159"/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#N/A</v>
      </c>
      <c r="M42" s="153"/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#N/A</v>
      </c>
      <c r="D43" s="162"/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#N/A</v>
      </c>
      <c r="M43" s="159"/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#N/A</v>
      </c>
      <c r="D44" s="159"/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#N/A</v>
      </c>
      <c r="M44" s="159"/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#N/A</v>
      </c>
      <c r="D45" s="159"/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#N/A</v>
      </c>
      <c r="M45" s="159"/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#N/A</v>
      </c>
      <c r="D46" s="159"/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#N/A</v>
      </c>
      <c r="M46" s="159"/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#N/A</v>
      </c>
      <c r="D47" s="159"/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#N/A</v>
      </c>
      <c r="M47" s="159"/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#N/A</v>
      </c>
      <c r="D48" s="159"/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#N/A</v>
      </c>
      <c r="M48" s="162"/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#N/A</v>
      </c>
      <c r="D49" s="162"/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#N/A</v>
      </c>
      <c r="M49" s="159"/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#N/A</v>
      </c>
      <c r="D50" s="159"/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#N/A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#N/A</v>
      </c>
      <c r="D51" s="159"/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#N/A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#N/A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#N/A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#N/A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#N/A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#N/A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#N/A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#N/A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#N/A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#N/A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#N/A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#N/A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#N/A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#N/A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#N/A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#N/A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#N/A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#N/A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#N/A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#N/A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#N/A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#N/A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#N/A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#N/A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#N/A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#N/A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#N/A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#N/A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#N/A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#N/A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#N/A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#N/A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#N/A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#N/A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#N/A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#N/A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#N/A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#N/A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#N/A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#N/A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#N/A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#N/A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#N/A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#N/A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#N/A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#N/A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#N/A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#N/A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#N/A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#N/A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#N/A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#N/A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#N/A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#N/A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#N/A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#N/A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#N/A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#N/A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#N/A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#N/A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#N/A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#N/A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#N/A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#N/A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#N/A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#N/A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#N/A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#N/A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#N/A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#N/A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#N/A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#N/A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#N/A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#N/A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#N/A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#N/A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#N/A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94</v>
      </c>
      <c r="D3" s="128">
        <f t="shared" ref="D3:J3" si="1">SUMPRODUCT(D10:D90,MOD(ROW(D10:D90),2)=0)</f>
        <v>19</v>
      </c>
      <c r="E3" s="128">
        <f t="shared" si="1"/>
        <v>4</v>
      </c>
      <c r="F3" s="128">
        <f t="shared" si="1"/>
        <v>3</v>
      </c>
      <c r="G3" s="128">
        <f t="shared" si="1"/>
        <v>0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91</v>
      </c>
      <c r="M3" s="128">
        <f t="shared" ref="M3:S3" si="2">SUMPRODUCT(M10:M90,MOD(ROW(M10:M90),2)=0)</f>
        <v>17</v>
      </c>
      <c r="N3" s="128">
        <f t="shared" si="2"/>
        <v>7</v>
      </c>
      <c r="O3" s="128">
        <f t="shared" si="2"/>
        <v>1</v>
      </c>
      <c r="P3" s="128">
        <f t="shared" si="2"/>
        <v>2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112</v>
      </c>
      <c r="D4" s="133">
        <f t="shared" ref="D4:J4" si="3">SUMPRODUCT(D10:D90,MOD(ROW(D10:D90),2))</f>
        <v>18</v>
      </c>
      <c r="E4" s="133">
        <f t="shared" si="3"/>
        <v>4</v>
      </c>
      <c r="F4" s="133">
        <f t="shared" si="3"/>
        <v>0</v>
      </c>
      <c r="G4" s="133">
        <f t="shared" si="3"/>
        <v>0</v>
      </c>
      <c r="H4" s="133">
        <f t="shared" si="3"/>
        <v>0</v>
      </c>
      <c r="I4" s="133">
        <f t="shared" si="3"/>
        <v>0</v>
      </c>
      <c r="J4" s="133">
        <f t="shared" si="3"/>
        <v>1</v>
      </c>
      <c r="K4" s="129" t="s">
        <v>179</v>
      </c>
      <c r="L4" s="127" t="s">
        <v>136</v>
      </c>
      <c r="M4" s="133">
        <f t="shared" ref="M4:S4" si="4">SUMPRODUCT(M10:M90,MOD(ROW(M10:M90),2))</f>
        <v>21</v>
      </c>
      <c r="N4" s="133">
        <f t="shared" si="4"/>
        <v>3</v>
      </c>
      <c r="O4" s="133">
        <f t="shared" si="4"/>
        <v>0</v>
      </c>
      <c r="P4" s="133">
        <f t="shared" si="4"/>
        <v>5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Pearlmutter %</v>
      </c>
      <c r="D5" s="137">
        <f t="shared" ref="D5:D6" si="6">IFERROR((E3/(E3+D3)),0)</f>
        <v>0.1739130435</v>
      </c>
      <c r="K5" s="135"/>
      <c r="L5" s="136" t="str">
        <f t="shared" ref="L5:L6" si="7">IFERROR((L10 &amp;" %"), "")</f>
        <v> Lewis %</v>
      </c>
      <c r="M5" s="137">
        <f t="shared" ref="M5:M6" si="8">IFERROR((N3/(N3+M3)),0)</f>
        <v>0.2916666667</v>
      </c>
      <c r="S5" s="132"/>
      <c r="T5" s="132"/>
      <c r="U5" s="7"/>
    </row>
    <row r="6">
      <c r="A6" s="14"/>
      <c r="B6" s="138"/>
      <c r="C6" s="139" t="str">
        <f t="shared" si="5"/>
        <v> Tate %</v>
      </c>
      <c r="D6" s="140">
        <f t="shared" si="6"/>
        <v>0.1818181818</v>
      </c>
      <c r="E6" s="141"/>
      <c r="F6" s="141"/>
      <c r="G6" s="141"/>
      <c r="H6" s="141"/>
      <c r="I6" s="141"/>
      <c r="J6" s="141"/>
      <c r="K6" s="138"/>
      <c r="L6" s="139" t="str">
        <f t="shared" si="7"/>
        <v> Schroeder %</v>
      </c>
      <c r="M6" s="142">
        <f t="shared" si="8"/>
        <v>0.125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Pearlmutter")</f>
        <v> Pearlmutter</v>
      </c>
      <c r="D10" s="149">
        <v>1.0</v>
      </c>
      <c r="E10" s="150"/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Lewis")</f>
        <v> Lewis</v>
      </c>
      <c r="M10" s="153"/>
      <c r="N10" s="150">
        <v>1.0</v>
      </c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Tate")</f>
        <v> Tate</v>
      </c>
      <c r="D11" s="149">
        <v>1.0</v>
      </c>
      <c r="E11" s="154"/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Schroeder")</f>
        <v> Schroeder</v>
      </c>
      <c r="M11" s="149">
        <v>1.0</v>
      </c>
      <c r="N11" s="154"/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Pearlmutter</v>
      </c>
      <c r="D12" s="153"/>
      <c r="E12" s="150">
        <v>1.0</v>
      </c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Lewis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Tate</v>
      </c>
      <c r="D13" s="149">
        <v>1.0</v>
      </c>
      <c r="E13" s="154"/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Schroeder</v>
      </c>
      <c r="M13" s="149">
        <v>1.0</v>
      </c>
      <c r="N13" s="157"/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Pearlmutter</v>
      </c>
      <c r="D14" s="149">
        <v>1.0</v>
      </c>
      <c r="E14" s="150"/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Lewis</v>
      </c>
      <c r="M14" s="153"/>
      <c r="N14" s="150">
        <v>1.0</v>
      </c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Tate</v>
      </c>
      <c r="D15" s="153"/>
      <c r="E15" s="150">
        <v>1.0</v>
      </c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Schroeder</v>
      </c>
      <c r="M15" s="153"/>
      <c r="N15" s="150">
        <v>1.0</v>
      </c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Pearlmutter</v>
      </c>
      <c r="D16" s="149">
        <v>1.0</v>
      </c>
      <c r="E16" s="157"/>
      <c r="F16" s="151">
        <v>1.0</v>
      </c>
      <c r="G16" s="133"/>
      <c r="H16" s="133"/>
      <c r="I16" s="133"/>
      <c r="J16" s="152"/>
      <c r="K16" s="129">
        <f t="shared" si="11"/>
        <v>4</v>
      </c>
      <c r="L16" s="156" t="str">
        <f t="shared" si="12"/>
        <v> Lewis</v>
      </c>
      <c r="M16" s="153"/>
      <c r="N16" s="150">
        <v>1.0</v>
      </c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Tate</v>
      </c>
      <c r="D17" s="149">
        <v>1.0</v>
      </c>
      <c r="E17" s="154"/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Schroeder</v>
      </c>
      <c r="M17" s="149">
        <v>1.0</v>
      </c>
      <c r="N17" s="154"/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Pearlmutter</v>
      </c>
      <c r="D18" s="149">
        <v>1.0</v>
      </c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Lewis</v>
      </c>
      <c r="M18" s="149">
        <v>1.0</v>
      </c>
      <c r="N18" s="157"/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Tate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Schroeder</v>
      </c>
      <c r="M19" s="158"/>
      <c r="N19" s="150">
        <v>1.0</v>
      </c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Pearlmutter</v>
      </c>
      <c r="D20" s="149">
        <v>1.0</v>
      </c>
      <c r="E20" s="154"/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Lewis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Tate</v>
      </c>
      <c r="D21" s="149">
        <v>1.0</v>
      </c>
      <c r="E21" s="157"/>
      <c r="F21" s="133"/>
      <c r="G21" s="133"/>
      <c r="H21" s="133"/>
      <c r="I21" s="133"/>
      <c r="J21" s="175"/>
      <c r="K21" s="135">
        <f t="shared" si="11"/>
        <v>6</v>
      </c>
      <c r="L21" s="156" t="str">
        <f t="shared" si="12"/>
        <v> Schroeder</v>
      </c>
      <c r="M21" s="149">
        <v>1.0</v>
      </c>
      <c r="N21" s="157"/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Pearlmutter</v>
      </c>
      <c r="D22" s="153"/>
      <c r="E22" s="150">
        <v>1.0</v>
      </c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 Lewis</v>
      </c>
      <c r="M22" s="149">
        <v>1.0</v>
      </c>
      <c r="N22" s="157"/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Tate</v>
      </c>
      <c r="D23" s="153"/>
      <c r="E23" s="157"/>
      <c r="F23" s="133"/>
      <c r="G23" s="133"/>
      <c r="H23" s="133"/>
      <c r="I23" s="133"/>
      <c r="J23" s="175">
        <v>1.0</v>
      </c>
      <c r="K23" s="135">
        <f t="shared" si="11"/>
        <v>7</v>
      </c>
      <c r="L23" s="156" t="str">
        <f t="shared" si="12"/>
        <v> Schroeder</v>
      </c>
      <c r="M23" s="149">
        <v>1.0</v>
      </c>
      <c r="N23" s="157"/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Pearlmutter</v>
      </c>
      <c r="D24" s="149">
        <v>1.0</v>
      </c>
      <c r="E24" s="157"/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Lewis</v>
      </c>
      <c r="M24" s="153"/>
      <c r="N24" s="150">
        <v>1.0</v>
      </c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Tate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Schroeder</v>
      </c>
      <c r="M25" s="149">
        <v>1.0</v>
      </c>
      <c r="N25" s="154"/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Pearlmutter</v>
      </c>
      <c r="D26" s="149">
        <v>1.0</v>
      </c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Lewis</v>
      </c>
      <c r="M26" s="149">
        <v>1.0</v>
      </c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Tate</v>
      </c>
      <c r="D27" s="149">
        <v>1.0</v>
      </c>
      <c r="E27" s="157"/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Schroeder</v>
      </c>
      <c r="M27" s="153"/>
      <c r="N27" s="150">
        <v>1.0</v>
      </c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Pearlmutter</v>
      </c>
      <c r="D28" s="149">
        <v>1.0</v>
      </c>
      <c r="E28" s="157"/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Lewis</v>
      </c>
      <c r="M28" s="149">
        <v>1.0</v>
      </c>
      <c r="N28" s="157"/>
      <c r="O28" s="151">
        <v>1.0</v>
      </c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Tate</v>
      </c>
      <c r="D29" s="153"/>
      <c r="E29" s="150">
        <v>1.0</v>
      </c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Schroeder</v>
      </c>
      <c r="M29" s="149">
        <v>1.0</v>
      </c>
      <c r="N29" s="157"/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Pearlmutter</v>
      </c>
      <c r="D30" s="153"/>
      <c r="E30" s="150">
        <v>1.0</v>
      </c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Lewis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Tate</v>
      </c>
      <c r="D31" s="149">
        <v>1.0</v>
      </c>
      <c r="E31" s="157"/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Schroeder</v>
      </c>
      <c r="M31" s="149">
        <v>1.0</v>
      </c>
      <c r="N31" s="154"/>
      <c r="O31" s="133"/>
      <c r="P31" s="151">
        <v>1.0</v>
      </c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Pearlmutter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Lewis</v>
      </c>
      <c r="M32" s="153"/>
      <c r="N32" s="150">
        <v>1.0</v>
      </c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Tate</v>
      </c>
      <c r="D33" s="149">
        <v>1.0</v>
      </c>
      <c r="E33" s="157"/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Schroeder</v>
      </c>
      <c r="M33" s="149">
        <v>1.0</v>
      </c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Pearlmutter</v>
      </c>
      <c r="D34" s="149">
        <v>1.0</v>
      </c>
      <c r="E34" s="157"/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Lewis</v>
      </c>
      <c r="M34" s="149">
        <v>1.0</v>
      </c>
      <c r="N34" s="157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Tate</v>
      </c>
      <c r="D35" s="149">
        <v>1.0</v>
      </c>
      <c r="E35" s="157"/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 Schroeder</v>
      </c>
      <c r="M35" s="149">
        <v>1.0</v>
      </c>
      <c r="N35" s="157"/>
      <c r="O35" s="133"/>
      <c r="P35" s="151">
        <v>1.0</v>
      </c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Pearlmutter</v>
      </c>
      <c r="D36" s="149">
        <v>1.0</v>
      </c>
      <c r="E36" s="157"/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Lewis</v>
      </c>
      <c r="M36" s="149">
        <v>1.0</v>
      </c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Tate</v>
      </c>
      <c r="D37" s="149">
        <v>1.0</v>
      </c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Schroeder</v>
      </c>
      <c r="M37" s="149">
        <v>1.0</v>
      </c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Pearlmutter</v>
      </c>
      <c r="D38" s="149">
        <v>1.0</v>
      </c>
      <c r="E38" s="157"/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Lewis</v>
      </c>
      <c r="M38" s="149">
        <v>1.0</v>
      </c>
      <c r="N38" s="157"/>
      <c r="O38" s="133"/>
      <c r="P38" s="151">
        <v>1.0</v>
      </c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Tate</v>
      </c>
      <c r="D39" s="153"/>
      <c r="E39" s="150">
        <v>1.0</v>
      </c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Schroeder</v>
      </c>
      <c r="M39" s="149">
        <v>1.0</v>
      </c>
      <c r="N39" s="157"/>
      <c r="O39" s="133"/>
      <c r="P39" s="151">
        <v>1.0</v>
      </c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Pearlmutter</v>
      </c>
      <c r="D40" s="159">
        <v>1.0</v>
      </c>
      <c r="E40" s="160"/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Lewis</v>
      </c>
      <c r="M40" s="153"/>
      <c r="N40" s="150">
        <v>1.0</v>
      </c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Tate</v>
      </c>
      <c r="D41" s="159"/>
      <c r="E41" s="160">
        <v>1.0</v>
      </c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Schroeder</v>
      </c>
      <c r="M41" s="149">
        <v>1.0</v>
      </c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Pearlmutter</v>
      </c>
      <c r="D42" s="159"/>
      <c r="E42" s="160">
        <v>1.0</v>
      </c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Lewis</v>
      </c>
      <c r="M42" s="149">
        <v>1.0</v>
      </c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Tate</v>
      </c>
      <c r="D43" s="159">
        <v>1.0</v>
      </c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Schroeder</v>
      </c>
      <c r="M43" s="159">
        <v>1.0</v>
      </c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Pearlmutter</v>
      </c>
      <c r="D44" s="159">
        <v>1.0</v>
      </c>
      <c r="E44" s="161"/>
      <c r="F44" s="151">
        <v>1.0</v>
      </c>
      <c r="G44" s="151"/>
      <c r="H44" s="133"/>
      <c r="I44" s="133"/>
      <c r="J44" s="152"/>
      <c r="K44" s="129">
        <f t="shared" si="11"/>
        <v>18</v>
      </c>
      <c r="L44" s="156" t="str">
        <f t="shared" si="12"/>
        <v> Lewis</v>
      </c>
      <c r="M44" s="159">
        <v>1.0</v>
      </c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Tate</v>
      </c>
      <c r="D45" s="159">
        <v>1.0</v>
      </c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Schroeder</v>
      </c>
      <c r="M45" s="159">
        <v>1.0</v>
      </c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Pearlmutter</v>
      </c>
      <c r="D46" s="159">
        <v>1.0</v>
      </c>
      <c r="E46" s="161"/>
      <c r="F46" s="151">
        <v>1.0</v>
      </c>
      <c r="G46" s="133"/>
      <c r="H46" s="133"/>
      <c r="I46" s="133"/>
      <c r="J46" s="152"/>
      <c r="K46" s="135">
        <f t="shared" si="11"/>
        <v>19</v>
      </c>
      <c r="L46" s="156" t="str">
        <f t="shared" si="12"/>
        <v> Lewis</v>
      </c>
      <c r="M46" s="159">
        <v>1.0</v>
      </c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Tate</v>
      </c>
      <c r="D47" s="159">
        <v>1.0</v>
      </c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Schroeder</v>
      </c>
      <c r="M47" s="159">
        <v>1.0</v>
      </c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Pearlmutter</v>
      </c>
      <c r="D48" s="159">
        <v>1.0</v>
      </c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Lewis</v>
      </c>
      <c r="M48" s="159">
        <v>1.0</v>
      </c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Tate</v>
      </c>
      <c r="D49" s="159">
        <v>1.0</v>
      </c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Schroeder</v>
      </c>
      <c r="M49" s="159">
        <v>1.0</v>
      </c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Pearlmutter</v>
      </c>
      <c r="D50" s="159">
        <v>1.0</v>
      </c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Lewis</v>
      </c>
      <c r="M50" s="159">
        <v>1.0</v>
      </c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Tate</v>
      </c>
      <c r="D51" s="159">
        <v>1.0</v>
      </c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Schroeder</v>
      </c>
      <c r="M51" s="159">
        <v>1.0</v>
      </c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Pearlmutter</v>
      </c>
      <c r="D52" s="159">
        <v>1.0</v>
      </c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Lewis</v>
      </c>
      <c r="M52" s="159">
        <v>1.0</v>
      </c>
      <c r="N52" s="161"/>
      <c r="O52" s="152"/>
      <c r="P52" s="175">
        <v>1.0</v>
      </c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Tate</v>
      </c>
      <c r="D53" s="159">
        <v>1.0</v>
      </c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Schroeder</v>
      </c>
      <c r="M53" s="159">
        <v>1.0</v>
      </c>
      <c r="N53" s="161"/>
      <c r="O53" s="152"/>
      <c r="P53" s="175">
        <v>1.0</v>
      </c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Pearlmutter</v>
      </c>
      <c r="D54" s="159">
        <v>1.0</v>
      </c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Lewis</v>
      </c>
      <c r="M54" s="159">
        <v>1.0</v>
      </c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Tate</v>
      </c>
      <c r="D55" s="159">
        <v>1.0</v>
      </c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Schroeder</v>
      </c>
      <c r="M55" s="159">
        <v>1.0</v>
      </c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Pearlmutter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Lewis</v>
      </c>
      <c r="M56" s="162"/>
      <c r="N56" s="160">
        <v>1.0</v>
      </c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Tate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Schroeder</v>
      </c>
      <c r="M57" s="159">
        <v>1.0</v>
      </c>
      <c r="N57" s="161"/>
      <c r="O57" s="152"/>
      <c r="P57" s="175">
        <v>1.0</v>
      </c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Pearlmutter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Lewis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Tate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Schroeder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Pearlmutter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Lewis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Tate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Schroeder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Pearlmutter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Lewis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Tate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Schroeder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Pearlmutter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Lewis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Tate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Schroeder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Pearlmutter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Lewis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Tate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Schroeder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Pearlmutter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Lewis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Tate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Schroeder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Pearlmutter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Lewis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Tate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Schroeder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Pearlmutter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Lewis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Tate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Schroeder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Pearlmutter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Lewis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Tate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Schroeder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Pearlmutter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Lewis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Tate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Schroeder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Pearlmutter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Lewis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Tate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Schroeder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Pearlmutter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Lewis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Tate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Schroeder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Pearlmutter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Lewis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Tate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Schroeder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Pearlmutter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Lewis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Tate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Schroeder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Pearlmutter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Lewis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Tate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Schroeder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Pearlmutter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Lewis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Tate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Schroeder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76</v>
      </c>
      <c r="D3" s="128">
        <f t="shared" ref="D3:J3" si="1">SUMPRODUCT(D10:D90,MOD(ROW(D10:D90),2)=0)</f>
        <v>16</v>
      </c>
      <c r="E3" s="128">
        <f t="shared" si="1"/>
        <v>5</v>
      </c>
      <c r="F3" s="128">
        <f t="shared" si="1"/>
        <v>1</v>
      </c>
      <c r="G3" s="128">
        <f t="shared" si="1"/>
        <v>1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106</v>
      </c>
      <c r="M3" s="128">
        <f t="shared" ref="M3:S3" si="2">SUMPRODUCT(M10:M90,MOD(ROW(M10:M90),2)=0)</f>
        <v>14</v>
      </c>
      <c r="N3" s="128">
        <f t="shared" si="2"/>
        <v>5</v>
      </c>
      <c r="O3" s="128">
        <f t="shared" si="2"/>
        <v>0</v>
      </c>
      <c r="P3" s="128">
        <f t="shared" si="2"/>
        <v>0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85</v>
      </c>
      <c r="D4" s="133">
        <f t="shared" ref="D4:J4" si="3">SUMPRODUCT(D10:D90,MOD(ROW(D10:D90),2))</f>
        <v>17</v>
      </c>
      <c r="E4" s="133">
        <f t="shared" si="3"/>
        <v>4</v>
      </c>
      <c r="F4" s="133">
        <f t="shared" si="3"/>
        <v>3</v>
      </c>
      <c r="G4" s="133">
        <f t="shared" si="3"/>
        <v>0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90</v>
      </c>
      <c r="M4" s="133">
        <f t="shared" ref="M4:S4" si="4">SUMPRODUCT(M10:M90,MOD(ROW(M10:M90),2))</f>
        <v>14</v>
      </c>
      <c r="N4" s="133">
        <f t="shared" si="4"/>
        <v>5</v>
      </c>
      <c r="O4" s="133">
        <f t="shared" si="4"/>
        <v>0</v>
      </c>
      <c r="P4" s="133">
        <f t="shared" si="4"/>
        <v>2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Lawry %</v>
      </c>
      <c r="D5" s="137">
        <f t="shared" ref="D5:D6" si="6">IFERROR((E3/(E3+D3)),0)</f>
        <v>0.2380952381</v>
      </c>
      <c r="K5" s="135"/>
      <c r="L5" s="136" t="str">
        <f t="shared" ref="L5:L6" si="7">IFERROR((L10 &amp;" %"), "")</f>
        <v> Gandarias %</v>
      </c>
      <c r="M5" s="137">
        <f t="shared" ref="M5:M6" si="8">IFERROR((N3/(N3+M3)),0)</f>
        <v>0.2631578947</v>
      </c>
      <c r="S5" s="132"/>
      <c r="T5" s="132"/>
      <c r="U5" s="7"/>
    </row>
    <row r="6">
      <c r="A6" s="14"/>
      <c r="B6" s="138"/>
      <c r="C6" s="139" t="str">
        <f t="shared" si="5"/>
        <v> Brandon %</v>
      </c>
      <c r="D6" s="140">
        <f t="shared" si="6"/>
        <v>0.1904761905</v>
      </c>
      <c r="E6" s="141"/>
      <c r="F6" s="141"/>
      <c r="G6" s="141"/>
      <c r="H6" s="141"/>
      <c r="I6" s="141"/>
      <c r="J6" s="141"/>
      <c r="K6" s="138"/>
      <c r="L6" s="139" t="str">
        <f t="shared" si="7"/>
        <v> Cartwright %</v>
      </c>
      <c r="M6" s="142">
        <f t="shared" si="8"/>
        <v>0.2631578947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Lawry")</f>
        <v> Lawry</v>
      </c>
      <c r="D10" s="149"/>
      <c r="E10" s="150">
        <v>1.0</v>
      </c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Gandarias")</f>
        <v> Gandarias</v>
      </c>
      <c r="M10" s="153"/>
      <c r="N10" s="150">
        <v>1.0</v>
      </c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Brandon")</f>
        <v> Brandon</v>
      </c>
      <c r="D11" s="149">
        <v>1.0</v>
      </c>
      <c r="E11" s="154"/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Cartwright")</f>
        <v> Cartwright</v>
      </c>
      <c r="M11" s="149">
        <v>1.0</v>
      </c>
      <c r="N11" s="154"/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Lawry</v>
      </c>
      <c r="D12" s="149">
        <v>1.0</v>
      </c>
      <c r="E12" s="150"/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Gandarias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Brandon</v>
      </c>
      <c r="D13" s="149">
        <v>1.0</v>
      </c>
      <c r="E13" s="154"/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Cartwright</v>
      </c>
      <c r="M13" s="153"/>
      <c r="N13" s="150">
        <v>1.0</v>
      </c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Lawry</v>
      </c>
      <c r="D14" s="153"/>
      <c r="E14" s="150">
        <v>1.0</v>
      </c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Gandarias</v>
      </c>
      <c r="M14" s="149">
        <v>1.0</v>
      </c>
      <c r="N14" s="157"/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Brandon</v>
      </c>
      <c r="D15" s="153"/>
      <c r="E15" s="150">
        <v>1.0</v>
      </c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Cartwright</v>
      </c>
      <c r="M15" s="153"/>
      <c r="N15" s="150">
        <v>1.0</v>
      </c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Lawry</v>
      </c>
      <c r="D16" s="149">
        <v>1.0</v>
      </c>
      <c r="E16" s="157"/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Gandarias</v>
      </c>
      <c r="M16" s="153"/>
      <c r="N16" s="150">
        <v>1.0</v>
      </c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Brandon</v>
      </c>
      <c r="D17" s="153"/>
      <c r="E17" s="150">
        <v>1.0</v>
      </c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Cartwright</v>
      </c>
      <c r="M17" s="149">
        <v>1.0</v>
      </c>
      <c r="N17" s="154"/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Lawry</v>
      </c>
      <c r="D18" s="153"/>
      <c r="E18" s="150">
        <v>1.0</v>
      </c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Gandarias</v>
      </c>
      <c r="M18" s="149">
        <v>1.0</v>
      </c>
      <c r="N18" s="157"/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Brandon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Cartwright</v>
      </c>
      <c r="M19" s="149">
        <v>1.0</v>
      </c>
      <c r="N19" s="154"/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Lawry</v>
      </c>
      <c r="D20" s="158"/>
      <c r="E20" s="150">
        <v>1.0</v>
      </c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Gandarias</v>
      </c>
      <c r="M20" s="153"/>
      <c r="N20" s="150">
        <v>1.0</v>
      </c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Brandon</v>
      </c>
      <c r="D21" s="153"/>
      <c r="E21" s="150">
        <v>1.0</v>
      </c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Cartwright</v>
      </c>
      <c r="M21" s="149">
        <v>1.0</v>
      </c>
      <c r="N21" s="157"/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Lawry</v>
      </c>
      <c r="D22" s="149">
        <v>1.0</v>
      </c>
      <c r="E22" s="157"/>
      <c r="F22" s="151">
        <v>1.0</v>
      </c>
      <c r="G22" s="133"/>
      <c r="H22" s="133"/>
      <c r="I22" s="133"/>
      <c r="J22" s="152"/>
      <c r="K22" s="129">
        <f t="shared" si="11"/>
        <v>7</v>
      </c>
      <c r="L22" s="156" t="str">
        <f t="shared" si="12"/>
        <v> Gandarias</v>
      </c>
      <c r="M22" s="153"/>
      <c r="N22" s="150">
        <v>1.0</v>
      </c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Brandon</v>
      </c>
      <c r="D23" s="149">
        <v>1.0</v>
      </c>
      <c r="E23" s="157"/>
      <c r="F23" s="151">
        <v>1.0</v>
      </c>
      <c r="G23" s="133"/>
      <c r="H23" s="133"/>
      <c r="I23" s="133"/>
      <c r="J23" s="152"/>
      <c r="K23" s="135">
        <f t="shared" si="11"/>
        <v>7</v>
      </c>
      <c r="L23" s="156" t="str">
        <f t="shared" si="12"/>
        <v> Cartwright</v>
      </c>
      <c r="M23" s="149">
        <v>1.0</v>
      </c>
      <c r="N23" s="157"/>
      <c r="O23" s="133"/>
      <c r="P23" s="151">
        <v>1.0</v>
      </c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Lawry</v>
      </c>
      <c r="D24" s="149">
        <v>1.0</v>
      </c>
      <c r="E24" s="157"/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Gandarias</v>
      </c>
      <c r="M24" s="149">
        <v>1.0</v>
      </c>
      <c r="N24" s="157"/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Brandon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Cartwright</v>
      </c>
      <c r="M25" s="158"/>
      <c r="N25" s="150">
        <v>1.0</v>
      </c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Lawry</v>
      </c>
      <c r="D26" s="149">
        <v>1.0</v>
      </c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Gandarias</v>
      </c>
      <c r="M26" s="149">
        <v>1.0</v>
      </c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Brandon</v>
      </c>
      <c r="D27" s="149">
        <v>1.0</v>
      </c>
      <c r="E27" s="157"/>
      <c r="F27" s="151">
        <v>1.0</v>
      </c>
      <c r="G27" s="133"/>
      <c r="H27" s="133"/>
      <c r="I27" s="133"/>
      <c r="J27" s="152"/>
      <c r="K27" s="135">
        <f t="shared" si="11"/>
        <v>9</v>
      </c>
      <c r="L27" s="156" t="str">
        <f t="shared" si="12"/>
        <v> Cartwright</v>
      </c>
      <c r="M27" s="149">
        <v>1.0</v>
      </c>
      <c r="N27" s="157"/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Lawry</v>
      </c>
      <c r="D28" s="153"/>
      <c r="E28" s="150">
        <v>1.0</v>
      </c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Gandarias</v>
      </c>
      <c r="M28" s="153"/>
      <c r="N28" s="150">
        <v>1.0</v>
      </c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Brandon</v>
      </c>
      <c r="D29" s="149">
        <v>1.0</v>
      </c>
      <c r="E29" s="157"/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Cartwright</v>
      </c>
      <c r="M29" s="153"/>
      <c r="N29" s="150">
        <v>1.0</v>
      </c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Lawry</v>
      </c>
      <c r="D30" s="149">
        <v>1.0</v>
      </c>
      <c r="E30" s="157"/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Gandarias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Brandon</v>
      </c>
      <c r="D31" s="149">
        <v>1.0</v>
      </c>
      <c r="E31" s="157"/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Cartwright</v>
      </c>
      <c r="M31" s="149">
        <v>1.0</v>
      </c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Lawry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Gandarias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Brandon</v>
      </c>
      <c r="D33" s="149">
        <v>1.0</v>
      </c>
      <c r="E33" s="157"/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Cartwright</v>
      </c>
      <c r="M33" s="149">
        <v>1.0</v>
      </c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Lawry</v>
      </c>
      <c r="D34" s="149">
        <v>1.0</v>
      </c>
      <c r="E34" s="157"/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Gandarias</v>
      </c>
      <c r="M34" s="149">
        <v>1.0</v>
      </c>
      <c r="N34" s="157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Brandon</v>
      </c>
      <c r="D35" s="149">
        <v>1.0</v>
      </c>
      <c r="E35" s="157"/>
      <c r="F35" s="151">
        <v>1.0</v>
      </c>
      <c r="G35" s="133"/>
      <c r="H35" s="133"/>
      <c r="I35" s="133"/>
      <c r="J35" s="152"/>
      <c r="K35" s="135">
        <f t="shared" si="11"/>
        <v>13</v>
      </c>
      <c r="L35" s="156" t="str">
        <f t="shared" si="12"/>
        <v> Cartwright</v>
      </c>
      <c r="M35" s="149">
        <v>1.0</v>
      </c>
      <c r="N35" s="157"/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Lawry</v>
      </c>
      <c r="D36" s="149">
        <v>1.0</v>
      </c>
      <c r="E36" s="157"/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Gandarias</v>
      </c>
      <c r="M36" s="149">
        <v>1.0</v>
      </c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Brandon</v>
      </c>
      <c r="D37" s="149">
        <v>1.0</v>
      </c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Cartwright</v>
      </c>
      <c r="M37" s="149">
        <v>1.0</v>
      </c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Lawry</v>
      </c>
      <c r="D38" s="149">
        <v>1.0</v>
      </c>
      <c r="E38" s="157"/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Gandarias</v>
      </c>
      <c r="M38" s="149">
        <v>1.0</v>
      </c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Brandon</v>
      </c>
      <c r="D39" s="149">
        <v>1.0</v>
      </c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Cartwright</v>
      </c>
      <c r="M39" s="149">
        <v>1.0</v>
      </c>
      <c r="N39" s="157"/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Lawry</v>
      </c>
      <c r="D40" s="159">
        <v>1.0</v>
      </c>
      <c r="E40" s="160"/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Gandarias</v>
      </c>
      <c r="M40" s="149">
        <v>1.0</v>
      </c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Brandon</v>
      </c>
      <c r="D41" s="159">
        <v>1.0</v>
      </c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Cartwright</v>
      </c>
      <c r="M41" s="149">
        <v>1.0</v>
      </c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Lawry</v>
      </c>
      <c r="D42" s="159">
        <v>1.0</v>
      </c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Gandarias</v>
      </c>
      <c r="M42" s="149">
        <v>1.0</v>
      </c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Brandon</v>
      </c>
      <c r="D43" s="159">
        <v>1.0</v>
      </c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Cartwright</v>
      </c>
      <c r="M43" s="159">
        <v>1.0</v>
      </c>
      <c r="N43" s="161"/>
      <c r="O43" s="152"/>
      <c r="P43" s="175">
        <v>1.0</v>
      </c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Lawry</v>
      </c>
      <c r="D44" s="159">
        <v>1.0</v>
      </c>
      <c r="E44" s="161"/>
      <c r="F44" s="133"/>
      <c r="G44" s="151">
        <v>1.0</v>
      </c>
      <c r="H44" s="133"/>
      <c r="I44" s="133"/>
      <c r="J44" s="152"/>
      <c r="K44" s="129">
        <f t="shared" si="11"/>
        <v>18</v>
      </c>
      <c r="L44" s="156" t="str">
        <f t="shared" si="12"/>
        <v> Gandarias</v>
      </c>
      <c r="M44" s="159">
        <v>1.0</v>
      </c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Brandon</v>
      </c>
      <c r="D45" s="159">
        <v>1.0</v>
      </c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Cartwright</v>
      </c>
      <c r="M45" s="159">
        <v>1.0</v>
      </c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Lawry</v>
      </c>
      <c r="D46" s="159">
        <v>1.0</v>
      </c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Gandarias</v>
      </c>
      <c r="M46" s="159">
        <v>1.0</v>
      </c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Brandon</v>
      </c>
      <c r="D47" s="159">
        <v>1.0</v>
      </c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Cartwright</v>
      </c>
      <c r="M47" s="159"/>
      <c r="N47" s="160">
        <v>1.0</v>
      </c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Lawry</v>
      </c>
      <c r="D48" s="159">
        <v>1.0</v>
      </c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Gandarias</v>
      </c>
      <c r="M48" s="162"/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Brandon</v>
      </c>
      <c r="D49" s="162"/>
      <c r="E49" s="160">
        <v>1.0</v>
      </c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Cartwright</v>
      </c>
      <c r="M49" s="159"/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Lawry</v>
      </c>
      <c r="D50" s="159">
        <v>1.0</v>
      </c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Gandarias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Brandon</v>
      </c>
      <c r="D51" s="159">
        <v>1.0</v>
      </c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Cartwright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Lawry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Gandarias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Brandon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Cartwright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Lawry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Gandarias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Brandon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Cartwright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Lawry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Gandarias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Brandon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Cartwright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Lawry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Gandarias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Brandon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Cartwright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Lawry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Gandarias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Brandon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Cartwright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Lawry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Gandarias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Brandon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Cartwright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Lawry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Gandarias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Brandon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Cartwright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Lawry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Gandarias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Brandon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Cartwright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Lawry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Gandarias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Brandon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Cartwright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Lawry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Gandarias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Brandon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Cartwright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Lawry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Gandarias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Brandon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Cartwright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Lawry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Gandarias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Brandon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Cartwright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Lawry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Gandarias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Brandon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Cartwright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Lawry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Gandarias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Brandon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Cartwright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Lawry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Gandarias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Brandon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Cartwright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Lawry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Gandarias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Brandon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Cartwright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Lawry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Gandarias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Brandon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Cartwright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Lawry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Gandarias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Brandon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Cartwright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Lawry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Gandarias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Brandon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Cartwright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116</v>
      </c>
      <c r="D3" s="128">
        <f t="shared" ref="D3:J3" si="1">SUMPRODUCT(D10:D90,MOD(ROW(D10:D90),2)=0)</f>
        <v>16</v>
      </c>
      <c r="E3" s="128">
        <f t="shared" si="1"/>
        <v>3</v>
      </c>
      <c r="F3" s="128">
        <f t="shared" si="1"/>
        <v>0</v>
      </c>
      <c r="G3" s="128">
        <f t="shared" si="1"/>
        <v>1</v>
      </c>
      <c r="H3" s="128">
        <f t="shared" si="1"/>
        <v>1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96</v>
      </c>
      <c r="M3" s="128">
        <f t="shared" ref="M3:S3" si="2">SUMPRODUCT(M10:M90,MOD(ROW(M10:M90),2)=0)</f>
        <v>13</v>
      </c>
      <c r="N3" s="128">
        <f t="shared" si="2"/>
        <v>6</v>
      </c>
      <c r="O3" s="128">
        <f t="shared" si="2"/>
        <v>0</v>
      </c>
      <c r="P3" s="128">
        <f t="shared" si="2"/>
        <v>0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133</v>
      </c>
      <c r="D4" s="133">
        <f t="shared" ref="D4:J4" si="3">SUMPRODUCT(D10:D90,MOD(ROW(D10:D90),2))</f>
        <v>17</v>
      </c>
      <c r="E4" s="133">
        <f t="shared" si="3"/>
        <v>2</v>
      </c>
      <c r="F4" s="133">
        <f t="shared" si="3"/>
        <v>1</v>
      </c>
      <c r="G4" s="133">
        <f t="shared" si="3"/>
        <v>1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89</v>
      </c>
      <c r="M4" s="133">
        <f t="shared" ref="M4:S4" si="4">SUMPRODUCT(M10:M90,MOD(ROW(M10:M90),2))</f>
        <v>14</v>
      </c>
      <c r="N4" s="133">
        <f t="shared" si="4"/>
        <v>4</v>
      </c>
      <c r="O4" s="133">
        <f t="shared" si="4"/>
        <v>0</v>
      </c>
      <c r="P4" s="133">
        <f t="shared" si="4"/>
        <v>0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Hamoui %</v>
      </c>
      <c r="D5" s="137">
        <f t="shared" ref="D5:D6" si="6">IFERROR((E3/(E3+D3)),0)</f>
        <v>0.1578947368</v>
      </c>
      <c r="K5" s="135"/>
      <c r="L5" s="136" t="str">
        <f t="shared" ref="L5:L6" si="7">IFERROR((L10 &amp;" %"), "")</f>
        <v> Wigmore %</v>
      </c>
      <c r="M5" s="137">
        <f t="shared" ref="M5:M6" si="8">IFERROR((N3/(N3+M3)),0)</f>
        <v>0.3157894737</v>
      </c>
      <c r="S5" s="132"/>
      <c r="T5" s="132"/>
      <c r="U5" s="7"/>
    </row>
    <row r="6">
      <c r="A6" s="14"/>
      <c r="B6" s="138"/>
      <c r="C6" s="139" t="str">
        <f t="shared" si="5"/>
        <v> Reeves %</v>
      </c>
      <c r="D6" s="140">
        <f t="shared" si="6"/>
        <v>0.1052631579</v>
      </c>
      <c r="E6" s="141"/>
      <c r="F6" s="141"/>
      <c r="G6" s="141"/>
      <c r="H6" s="141"/>
      <c r="I6" s="141"/>
      <c r="J6" s="141"/>
      <c r="K6" s="138"/>
      <c r="L6" s="139" t="str">
        <f t="shared" si="7"/>
        <v> Boggs %</v>
      </c>
      <c r="M6" s="142">
        <f t="shared" si="8"/>
        <v>0.2222222222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Hamoui")</f>
        <v> Hamoui</v>
      </c>
      <c r="D10" s="149">
        <v>1.0</v>
      </c>
      <c r="E10" s="150"/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Wigmore")</f>
        <v> Wigmore</v>
      </c>
      <c r="M10" s="149">
        <v>1.0</v>
      </c>
      <c r="N10" s="154"/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Reeves")</f>
        <v> Reeves</v>
      </c>
      <c r="D11" s="149">
        <v>1.0</v>
      </c>
      <c r="E11" s="154"/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Boggs")</f>
        <v> Boggs</v>
      </c>
      <c r="M11" s="153"/>
      <c r="N11" s="150">
        <v>1.0</v>
      </c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Hamoui</v>
      </c>
      <c r="D12" s="149">
        <v>1.0</v>
      </c>
      <c r="E12" s="150"/>
      <c r="F12" s="133"/>
      <c r="G12" s="133"/>
      <c r="H12" s="151">
        <v>1.0</v>
      </c>
      <c r="I12" s="133"/>
      <c r="J12" s="152"/>
      <c r="K12" s="129">
        <f t="shared" ref="K12:K69" si="11">K10+1</f>
        <v>2</v>
      </c>
      <c r="L12" s="156" t="str">
        <f t="shared" ref="L12:L89" si="12">L10</f>
        <v> Wigmore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Reeves</v>
      </c>
      <c r="D13" s="149">
        <v>1.0</v>
      </c>
      <c r="E13" s="154"/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Boggs</v>
      </c>
      <c r="M13" s="149">
        <v>1.0</v>
      </c>
      <c r="N13" s="157"/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Hamoui</v>
      </c>
      <c r="D14" s="149">
        <v>1.0</v>
      </c>
      <c r="E14" s="150"/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Wigmore</v>
      </c>
      <c r="M14" s="153"/>
      <c r="N14" s="150">
        <v>1.0</v>
      </c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Reeves</v>
      </c>
      <c r="D15" s="149">
        <v>1.0</v>
      </c>
      <c r="E15" s="150"/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Boggs</v>
      </c>
      <c r="M15" s="153"/>
      <c r="N15" s="150">
        <v>1.0</v>
      </c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Hamoui</v>
      </c>
      <c r="D16" s="149">
        <v>1.0</v>
      </c>
      <c r="E16" s="157"/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Wigmore</v>
      </c>
      <c r="M16" s="149">
        <v>1.0</v>
      </c>
      <c r="N16" s="157"/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Reeves</v>
      </c>
      <c r="D17" s="149">
        <v>1.0</v>
      </c>
      <c r="E17" s="154"/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Boggs</v>
      </c>
      <c r="M17" s="158"/>
      <c r="N17" s="150">
        <v>1.0</v>
      </c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Hamoui</v>
      </c>
      <c r="D18" s="153"/>
      <c r="E18" s="150">
        <v>1.0</v>
      </c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Wigmore</v>
      </c>
      <c r="M18" s="153"/>
      <c r="N18" s="150">
        <v>1.0</v>
      </c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Reeves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Boggs</v>
      </c>
      <c r="M19" s="149">
        <v>1.0</v>
      </c>
      <c r="N19" s="154"/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Hamoui</v>
      </c>
      <c r="D20" s="149">
        <v>1.0</v>
      </c>
      <c r="E20" s="154"/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Wigmore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Reeves</v>
      </c>
      <c r="D21" s="149">
        <v>1.0</v>
      </c>
      <c r="E21" s="157"/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Boggs</v>
      </c>
      <c r="M21" s="149">
        <v>1.0</v>
      </c>
      <c r="N21" s="157"/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Hamoui</v>
      </c>
      <c r="D22" s="149">
        <v>1.0</v>
      </c>
      <c r="E22" s="157"/>
      <c r="F22" s="133"/>
      <c r="G22" s="151">
        <v>1.0</v>
      </c>
      <c r="H22" s="133"/>
      <c r="I22" s="133"/>
      <c r="J22" s="152"/>
      <c r="K22" s="129">
        <f t="shared" si="11"/>
        <v>7</v>
      </c>
      <c r="L22" s="156" t="str">
        <f t="shared" si="12"/>
        <v> Wigmore</v>
      </c>
      <c r="M22" s="149">
        <v>1.0</v>
      </c>
      <c r="N22" s="157"/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Reeves</v>
      </c>
      <c r="D23" s="153"/>
      <c r="E23" s="150">
        <v>1.0</v>
      </c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Boggs</v>
      </c>
      <c r="M23" s="149">
        <v>1.0</v>
      </c>
      <c r="N23" s="157"/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Hamoui</v>
      </c>
      <c r="D24" s="149">
        <v>1.0</v>
      </c>
      <c r="E24" s="157"/>
      <c r="F24" s="133"/>
      <c r="G24" s="151"/>
      <c r="H24" s="133"/>
      <c r="I24" s="133"/>
      <c r="J24" s="152"/>
      <c r="K24" s="129">
        <f t="shared" si="11"/>
        <v>8</v>
      </c>
      <c r="L24" s="156" t="str">
        <f t="shared" si="12"/>
        <v> Wigmore</v>
      </c>
      <c r="M24" s="149">
        <v>1.0</v>
      </c>
      <c r="N24" s="157"/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Reeves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Boggs</v>
      </c>
      <c r="M25" s="149">
        <v>1.0</v>
      </c>
      <c r="N25" s="154"/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Hamoui</v>
      </c>
      <c r="D26" s="153"/>
      <c r="E26" s="150">
        <v>1.0</v>
      </c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Wigmore</v>
      </c>
      <c r="M26" s="149">
        <v>1.0</v>
      </c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Reeves</v>
      </c>
      <c r="D27" s="149">
        <v>1.0</v>
      </c>
      <c r="E27" s="157"/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Boggs</v>
      </c>
      <c r="M27" s="149">
        <v>1.0</v>
      </c>
      <c r="N27" s="157"/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Hamoui</v>
      </c>
      <c r="D28" s="149">
        <v>1.0</v>
      </c>
      <c r="E28" s="157"/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Wigmore</v>
      </c>
      <c r="M28" s="153"/>
      <c r="N28" s="150">
        <v>1.0</v>
      </c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Reeves</v>
      </c>
      <c r="D29" s="149">
        <v>1.0</v>
      </c>
      <c r="E29" s="157"/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Boggs</v>
      </c>
      <c r="M29" s="149">
        <v>1.0</v>
      </c>
      <c r="N29" s="157"/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Hamoui</v>
      </c>
      <c r="D30" s="149">
        <v>1.0</v>
      </c>
      <c r="E30" s="157"/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Wigmore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Reeves</v>
      </c>
      <c r="D31" s="149">
        <v>1.0</v>
      </c>
      <c r="E31" s="157"/>
      <c r="F31" s="133"/>
      <c r="G31" s="151">
        <v>1.0</v>
      </c>
      <c r="H31" s="133"/>
      <c r="I31" s="133"/>
      <c r="J31" s="152"/>
      <c r="K31" s="135">
        <f t="shared" si="11"/>
        <v>11</v>
      </c>
      <c r="L31" s="156" t="str">
        <f t="shared" si="12"/>
        <v> Boggs</v>
      </c>
      <c r="M31" s="158"/>
      <c r="N31" s="150">
        <v>1.0</v>
      </c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Hamoui</v>
      </c>
      <c r="D32" s="153"/>
      <c r="E32" s="150">
        <v>1.0</v>
      </c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Wigmore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Reeves</v>
      </c>
      <c r="D33" s="153"/>
      <c r="E33" s="150">
        <v>1.0</v>
      </c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Boggs</v>
      </c>
      <c r="M33" s="149">
        <v>1.0</v>
      </c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Hamoui</v>
      </c>
      <c r="D34" s="149">
        <v>1.0</v>
      </c>
      <c r="E34" s="157"/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Wigmore</v>
      </c>
      <c r="M34" s="149">
        <v>1.0</v>
      </c>
      <c r="N34" s="157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Reeves</v>
      </c>
      <c r="D35" s="149">
        <v>1.0</v>
      </c>
      <c r="E35" s="157"/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 Boggs</v>
      </c>
      <c r="M35" s="149">
        <v>1.0</v>
      </c>
      <c r="N35" s="157"/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Hamoui</v>
      </c>
      <c r="D36" s="149">
        <v>1.0</v>
      </c>
      <c r="E36" s="157"/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Wigmore</v>
      </c>
      <c r="M36" s="149">
        <v>1.0</v>
      </c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Reeves</v>
      </c>
      <c r="D37" s="149">
        <v>1.0</v>
      </c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Boggs</v>
      </c>
      <c r="M37" s="149">
        <v>1.0</v>
      </c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Hamoui</v>
      </c>
      <c r="D38" s="149">
        <v>1.0</v>
      </c>
      <c r="E38" s="157"/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Wigmore</v>
      </c>
      <c r="M38" s="153"/>
      <c r="N38" s="150">
        <v>1.0</v>
      </c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Reeves</v>
      </c>
      <c r="D39" s="149">
        <v>1.0</v>
      </c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Boggs</v>
      </c>
      <c r="M39" s="149">
        <v>1.0</v>
      </c>
      <c r="N39" s="157"/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Hamoui</v>
      </c>
      <c r="D40" s="159">
        <v>1.0</v>
      </c>
      <c r="E40" s="160"/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Wigmore</v>
      </c>
      <c r="M40" s="149">
        <v>1.0</v>
      </c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Reeves</v>
      </c>
      <c r="D41" s="159">
        <v>1.0</v>
      </c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Boggs</v>
      </c>
      <c r="M41" s="149">
        <v>1.0</v>
      </c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Hamoui</v>
      </c>
      <c r="D42" s="159">
        <v>1.0</v>
      </c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Wigmore</v>
      </c>
      <c r="M42" s="149">
        <v>1.0</v>
      </c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Reeves</v>
      </c>
      <c r="D43" s="159">
        <v>1.0</v>
      </c>
      <c r="E43" s="160"/>
      <c r="F43" s="151">
        <v>1.0</v>
      </c>
      <c r="G43" s="133"/>
      <c r="H43" s="133"/>
      <c r="I43" s="133"/>
      <c r="J43" s="152"/>
      <c r="K43" s="135">
        <f t="shared" si="11"/>
        <v>17</v>
      </c>
      <c r="L43" s="156" t="str">
        <f t="shared" si="12"/>
        <v> Boggs</v>
      </c>
      <c r="M43" s="159">
        <v>1.0</v>
      </c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Hamoui</v>
      </c>
      <c r="D44" s="159">
        <v>1.0</v>
      </c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Wigmore</v>
      </c>
      <c r="M44" s="159"/>
      <c r="N44" s="160">
        <v>1.0</v>
      </c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Reeves</v>
      </c>
      <c r="D45" s="159">
        <v>1.0</v>
      </c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Boggs</v>
      </c>
      <c r="M45" s="159">
        <v>1.0</v>
      </c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Hamoui</v>
      </c>
      <c r="D46" s="159">
        <v>1.0</v>
      </c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Wigmore</v>
      </c>
      <c r="M46" s="159"/>
      <c r="N46" s="160">
        <v>1.0</v>
      </c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Reeves</v>
      </c>
      <c r="D47" s="159">
        <v>1.0</v>
      </c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Boggs</v>
      </c>
      <c r="M47" s="159"/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Hamoui</v>
      </c>
      <c r="D48" s="159"/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Wigmore</v>
      </c>
      <c r="M48" s="162"/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Reeves</v>
      </c>
      <c r="D49" s="162"/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Boggs</v>
      </c>
      <c r="M49" s="159"/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Hamoui</v>
      </c>
      <c r="D50" s="159"/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Wigmore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Reeves</v>
      </c>
      <c r="D51" s="159"/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Boggs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Hamoui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Wigmore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Reeves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Boggs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Hamoui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Wigmore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Reeves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Boggs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Hamoui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Wigmore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Reeves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Boggs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Hamoui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Wigmore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Reeves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Boggs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Hamoui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Wigmore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Reeves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Boggs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Hamoui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Wigmore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Reeves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Boggs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Hamoui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Wigmore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Reeves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Boggs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Hamoui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Wigmore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Reeves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Boggs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Hamoui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Wigmore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Reeves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Boggs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Hamoui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Wigmore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Reeves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Boggs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Hamoui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Wigmore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Reeves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Boggs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Hamoui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Wigmore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Reeves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Boggs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Hamoui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Wigmore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Reeves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Boggs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Hamoui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Wigmore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Reeves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Boggs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Hamoui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Wigmore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Reeves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Boggs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Hamoui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Wigmore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Reeves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Boggs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Hamoui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Wigmore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Reeves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Boggs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Hamoui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Wigmore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Reeves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Boggs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Hamoui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Wigmore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Reeves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Boggs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106</v>
      </c>
      <c r="D3" s="128">
        <f t="shared" ref="D3:J3" si="1">SUMPRODUCT(D10:D90,MOD(ROW(D10:D90),2)=0)</f>
        <v>15</v>
      </c>
      <c r="E3" s="128">
        <f t="shared" si="1"/>
        <v>3</v>
      </c>
      <c r="F3" s="128">
        <f t="shared" si="1"/>
        <v>2</v>
      </c>
      <c r="G3" s="128">
        <f t="shared" si="1"/>
        <v>1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108</v>
      </c>
      <c r="M3" s="128">
        <f t="shared" ref="M3:S3" si="2">SUMPRODUCT(M10:M90,MOD(ROW(M10:M90),2)=0)</f>
        <v>15</v>
      </c>
      <c r="N3" s="128">
        <f t="shared" si="2"/>
        <v>1</v>
      </c>
      <c r="O3" s="128">
        <f t="shared" si="2"/>
        <v>0</v>
      </c>
      <c r="P3" s="128">
        <f t="shared" si="2"/>
        <v>1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90</v>
      </c>
      <c r="D4" s="133">
        <f t="shared" ref="D4:J4" si="3">SUMPRODUCT(D10:D90,MOD(ROW(D10:D90),2))</f>
        <v>11</v>
      </c>
      <c r="E4" s="133">
        <f t="shared" si="3"/>
        <v>7</v>
      </c>
      <c r="F4" s="133">
        <f t="shared" si="3"/>
        <v>2</v>
      </c>
      <c r="G4" s="133">
        <f t="shared" si="3"/>
        <v>1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73</v>
      </c>
      <c r="M4" s="133">
        <f t="shared" ref="M4:S4" si="4">SUMPRODUCT(M10:M90,MOD(ROW(M10:M90),2))</f>
        <v>11</v>
      </c>
      <c r="N4" s="133">
        <f t="shared" si="4"/>
        <v>5</v>
      </c>
      <c r="O4" s="133">
        <f t="shared" si="4"/>
        <v>1</v>
      </c>
      <c r="P4" s="133">
        <f t="shared" si="4"/>
        <v>2</v>
      </c>
      <c r="Q4" s="133">
        <f t="shared" si="4"/>
        <v>1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Gandarias %</v>
      </c>
      <c r="D5" s="137">
        <f t="shared" ref="D5:D6" si="6">IFERROR((E3/(E3+D3)),0)</f>
        <v>0.1666666667</v>
      </c>
      <c r="K5" s="135"/>
      <c r="L5" s="136" t="str">
        <f t="shared" ref="L5:L6" si="7">IFERROR((L10 &amp;" %"), "")</f>
        <v> Blumenschein %</v>
      </c>
      <c r="M5" s="137">
        <f t="shared" ref="M5:M6" si="8">IFERROR((N3/(N3+M3)),0)</f>
        <v>0.0625</v>
      </c>
      <c r="S5" s="132"/>
      <c r="T5" s="132"/>
      <c r="U5" s="7"/>
    </row>
    <row r="6">
      <c r="A6" s="14"/>
      <c r="B6" s="138"/>
      <c r="C6" s="139" t="str">
        <f t="shared" si="5"/>
        <v> Cartwright %</v>
      </c>
      <c r="D6" s="140">
        <f t="shared" si="6"/>
        <v>0.3888888889</v>
      </c>
      <c r="E6" s="141"/>
      <c r="F6" s="141"/>
      <c r="G6" s="141"/>
      <c r="H6" s="141"/>
      <c r="I6" s="141"/>
      <c r="J6" s="141"/>
      <c r="K6" s="138"/>
      <c r="L6" s="139" t="str">
        <f t="shared" si="7"/>
        <v> Raza %</v>
      </c>
      <c r="M6" s="142">
        <f t="shared" si="8"/>
        <v>0.3125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Gandarias")</f>
        <v> Gandarias</v>
      </c>
      <c r="D10" s="149">
        <v>1.0</v>
      </c>
      <c r="E10" s="150"/>
      <c r="F10" s="151">
        <v>1.0</v>
      </c>
      <c r="G10" s="151"/>
      <c r="H10" s="151"/>
      <c r="I10" s="151"/>
      <c r="J10" s="152"/>
      <c r="K10" s="129">
        <v>1.0</v>
      </c>
      <c r="L10" s="136" t="str">
        <f>IFERROR(__xludf.DUMMYFUNCTION("REGEXEXTRACT(L3, ""( .*)+"")")," Blumenschein")</f>
        <v> Blumenschein</v>
      </c>
      <c r="M10" s="153"/>
      <c r="N10" s="150">
        <v>1.0</v>
      </c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Cartwright")</f>
        <v> Cartwright</v>
      </c>
      <c r="D11" s="149">
        <v>1.0</v>
      </c>
      <c r="E11" s="154"/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Raza")</f>
        <v> Raza</v>
      </c>
      <c r="M11" s="149">
        <v>1.0</v>
      </c>
      <c r="N11" s="154"/>
      <c r="O11" s="133"/>
      <c r="P11" s="133"/>
      <c r="Q11" s="151">
        <v>1.0</v>
      </c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Gandarias</v>
      </c>
      <c r="D12" s="149">
        <v>1.0</v>
      </c>
      <c r="E12" s="150"/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Blumenschein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Cartwright</v>
      </c>
      <c r="D13" s="149"/>
      <c r="E13" s="150">
        <v>1.0</v>
      </c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Raza</v>
      </c>
      <c r="M13" s="149">
        <v>1.0</v>
      </c>
      <c r="N13" s="157"/>
      <c r="O13" s="151">
        <v>1.0</v>
      </c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Gandarias</v>
      </c>
      <c r="D14" s="149">
        <v>1.0</v>
      </c>
      <c r="E14" s="150"/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Blumenschein</v>
      </c>
      <c r="M14" s="149">
        <v>1.0</v>
      </c>
      <c r="N14" s="157"/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Cartwright</v>
      </c>
      <c r="D15" s="149">
        <v>1.0</v>
      </c>
      <c r="E15" s="150"/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Raza</v>
      </c>
      <c r="M15" s="153"/>
      <c r="N15" s="150">
        <v>1.0</v>
      </c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Gandarias</v>
      </c>
      <c r="D16" s="153"/>
      <c r="E16" s="150">
        <v>1.0</v>
      </c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Blumenschein</v>
      </c>
      <c r="M16" s="149">
        <v>1.0</v>
      </c>
      <c r="N16" s="157"/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Cartwright</v>
      </c>
      <c r="D17" s="149">
        <v>1.0</v>
      </c>
      <c r="E17" s="154"/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Raza</v>
      </c>
      <c r="M17" s="158"/>
      <c r="N17" s="150">
        <v>1.0</v>
      </c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Gandarias</v>
      </c>
      <c r="D18" s="149">
        <v>1.0</v>
      </c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Blumenschein</v>
      </c>
      <c r="M18" s="149">
        <v>1.0</v>
      </c>
      <c r="N18" s="157"/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Cartwright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Raza</v>
      </c>
      <c r="M19" s="149">
        <v>1.0</v>
      </c>
      <c r="N19" s="154"/>
      <c r="O19" s="133"/>
      <c r="P19" s="151">
        <v>1.0</v>
      </c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Gandarias</v>
      </c>
      <c r="D20" s="149">
        <v>1.0</v>
      </c>
      <c r="E20" s="154"/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Blumenschein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Cartwright</v>
      </c>
      <c r="D21" s="153"/>
      <c r="E21" s="150">
        <v>1.0</v>
      </c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Raza</v>
      </c>
      <c r="M21" s="153"/>
      <c r="N21" s="150">
        <v>1.0</v>
      </c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Gandarias</v>
      </c>
      <c r="D22" s="149">
        <v>1.0</v>
      </c>
      <c r="E22" s="150"/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 Blumenschein</v>
      </c>
      <c r="M22" s="149">
        <v>1.0</v>
      </c>
      <c r="N22" s="157"/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Cartwright</v>
      </c>
      <c r="D23" s="149">
        <v>1.0</v>
      </c>
      <c r="E23" s="157"/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Raza</v>
      </c>
      <c r="M23" s="153"/>
      <c r="N23" s="150">
        <v>1.0</v>
      </c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Gandarias</v>
      </c>
      <c r="D24" s="149">
        <v>1.0</v>
      </c>
      <c r="E24" s="157"/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Blumenschein</v>
      </c>
      <c r="M24" s="149">
        <v>1.0</v>
      </c>
      <c r="N24" s="157"/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Cartwright</v>
      </c>
      <c r="D25" s="153"/>
      <c r="E25" s="150">
        <v>1.0</v>
      </c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Raza</v>
      </c>
      <c r="M25" s="149">
        <v>1.0</v>
      </c>
      <c r="N25" s="154"/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Gandarias</v>
      </c>
      <c r="D26" s="149">
        <v>1.0</v>
      </c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Blumenschein</v>
      </c>
      <c r="M26" s="149">
        <v>1.0</v>
      </c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Cartwright</v>
      </c>
      <c r="D27" s="153"/>
      <c r="E27" s="150">
        <v>1.0</v>
      </c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Raza</v>
      </c>
      <c r="M27" s="149">
        <v>1.0</v>
      </c>
      <c r="N27" s="157"/>
      <c r="O27" s="151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Gandarias</v>
      </c>
      <c r="D28" s="149">
        <v>1.0</v>
      </c>
      <c r="E28" s="157"/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Blumenschein</v>
      </c>
      <c r="M28" s="149">
        <v>1.0</v>
      </c>
      <c r="N28" s="157"/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Cartwright</v>
      </c>
      <c r="D29" s="149">
        <v>1.0</v>
      </c>
      <c r="E29" s="157"/>
      <c r="F29" s="133"/>
      <c r="G29" s="151">
        <v>1.0</v>
      </c>
      <c r="H29" s="133"/>
      <c r="I29" s="133"/>
      <c r="J29" s="152"/>
      <c r="K29" s="135">
        <f t="shared" si="11"/>
        <v>10</v>
      </c>
      <c r="L29" s="156" t="str">
        <f t="shared" si="12"/>
        <v> Raza</v>
      </c>
      <c r="M29" s="149">
        <v>1.0</v>
      </c>
      <c r="N29" s="157"/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Gandarias</v>
      </c>
      <c r="D30" s="149">
        <v>1.0</v>
      </c>
      <c r="E30" s="150"/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Blumenschein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Cartwright</v>
      </c>
      <c r="D31" s="149">
        <v>1.0</v>
      </c>
      <c r="E31" s="157"/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Raza</v>
      </c>
      <c r="M31" s="149">
        <v>1.0</v>
      </c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Gandarias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Blumenschein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Cartwright</v>
      </c>
      <c r="D33" s="149">
        <v>1.0</v>
      </c>
      <c r="E33" s="157"/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Raza</v>
      </c>
      <c r="M33" s="158"/>
      <c r="N33" s="150">
        <v>1.0</v>
      </c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Gandarias</v>
      </c>
      <c r="D34" s="149">
        <v>1.0</v>
      </c>
      <c r="E34" s="157"/>
      <c r="F34" s="151">
        <v>1.0</v>
      </c>
      <c r="G34" s="133"/>
      <c r="H34" s="133"/>
      <c r="I34" s="133"/>
      <c r="J34" s="152"/>
      <c r="K34" s="129">
        <f t="shared" si="11"/>
        <v>13</v>
      </c>
      <c r="L34" s="156" t="str">
        <f t="shared" si="12"/>
        <v> Blumenschein</v>
      </c>
      <c r="M34" s="149">
        <v>1.0</v>
      </c>
      <c r="N34" s="157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Cartwright</v>
      </c>
      <c r="D35" s="149">
        <v>1.0</v>
      </c>
      <c r="E35" s="157"/>
      <c r="F35" s="151">
        <v>1.0</v>
      </c>
      <c r="G35" s="133"/>
      <c r="H35" s="133"/>
      <c r="I35" s="133"/>
      <c r="J35" s="152"/>
      <c r="K35" s="135">
        <f t="shared" si="11"/>
        <v>13</v>
      </c>
      <c r="L35" s="156" t="str">
        <f t="shared" si="12"/>
        <v> Raza</v>
      </c>
      <c r="M35" s="149">
        <v>1.0</v>
      </c>
      <c r="N35" s="157"/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Gandarias</v>
      </c>
      <c r="D36" s="153"/>
      <c r="E36" s="150">
        <v>1.0</v>
      </c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Blumenschein</v>
      </c>
      <c r="M36" s="149">
        <v>1.0</v>
      </c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Cartwright</v>
      </c>
      <c r="D37" s="153"/>
      <c r="E37" s="150">
        <v>1.0</v>
      </c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Raza</v>
      </c>
      <c r="M37" s="149">
        <v>1.0</v>
      </c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Gandarias</v>
      </c>
      <c r="D38" s="153"/>
      <c r="E38" s="150">
        <v>1.0</v>
      </c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Blumenschein</v>
      </c>
      <c r="M38" s="149">
        <v>1.0</v>
      </c>
      <c r="N38" s="157"/>
      <c r="O38" s="133"/>
      <c r="P38" s="151">
        <v>1.0</v>
      </c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Cartwright</v>
      </c>
      <c r="D39" s="153"/>
      <c r="E39" s="150">
        <v>1.0</v>
      </c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Raza</v>
      </c>
      <c r="M39" s="149">
        <v>1.0</v>
      </c>
      <c r="N39" s="157"/>
      <c r="O39" s="133"/>
      <c r="P39" s="151">
        <v>1.0</v>
      </c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Gandarias</v>
      </c>
      <c r="D40" s="159">
        <v>1.0</v>
      </c>
      <c r="E40" s="160"/>
      <c r="F40" s="133"/>
      <c r="G40" s="151">
        <v>1.0</v>
      </c>
      <c r="H40" s="133"/>
      <c r="I40" s="133"/>
      <c r="J40" s="152"/>
      <c r="K40" s="129">
        <f t="shared" si="11"/>
        <v>16</v>
      </c>
      <c r="L40" s="156" t="str">
        <f t="shared" si="12"/>
        <v> Blumenschein</v>
      </c>
      <c r="M40" s="149">
        <v>1.0</v>
      </c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Cartwright</v>
      </c>
      <c r="D41" s="159">
        <v>1.0</v>
      </c>
      <c r="E41" s="161"/>
      <c r="F41" s="151">
        <v>1.0</v>
      </c>
      <c r="G41" s="133"/>
      <c r="H41" s="133"/>
      <c r="I41" s="133"/>
      <c r="J41" s="152"/>
      <c r="K41" s="135">
        <f t="shared" si="11"/>
        <v>16</v>
      </c>
      <c r="L41" s="156" t="str">
        <f t="shared" si="12"/>
        <v> Raza</v>
      </c>
      <c r="M41" s="149">
        <v>1.0</v>
      </c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Gandarias</v>
      </c>
      <c r="D42" s="159">
        <v>1.0</v>
      </c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Blumenschein</v>
      </c>
      <c r="M42" s="153"/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Cartwright</v>
      </c>
      <c r="D43" s="159">
        <v>1.0</v>
      </c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Raza</v>
      </c>
      <c r="M43" s="159"/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Gandarias</v>
      </c>
      <c r="D44" s="159">
        <v>1.0</v>
      </c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Blumenschein</v>
      </c>
      <c r="M44" s="159"/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Cartwright</v>
      </c>
      <c r="D45" s="159"/>
      <c r="E45" s="160">
        <v>1.0</v>
      </c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Raza</v>
      </c>
      <c r="M45" s="159"/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Gandarias</v>
      </c>
      <c r="D46" s="159"/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Blumenschein</v>
      </c>
      <c r="M46" s="159"/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Cartwright</v>
      </c>
      <c r="D47" s="159"/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Raza</v>
      </c>
      <c r="M47" s="159"/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Gandarias</v>
      </c>
      <c r="D48" s="159"/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Blumenschein</v>
      </c>
      <c r="M48" s="162"/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Cartwright</v>
      </c>
      <c r="D49" s="162"/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Raza</v>
      </c>
      <c r="M49" s="159"/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Gandarias</v>
      </c>
      <c r="D50" s="159"/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Blumenschein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Cartwright</v>
      </c>
      <c r="D51" s="159"/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Raza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Gandarias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Blumenschein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Cartwright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Raza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Gandarias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Blumenschein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Cartwright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Raza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Gandarias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Blumenschein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Cartwright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Raza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Gandarias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Blumenschein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Cartwright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Raza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Gandarias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Blumenschein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Cartwright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Raza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Gandarias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Blumenschein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Cartwright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Raza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Gandarias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Blumenschein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Cartwright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Raza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Gandarias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Blumenschein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Cartwright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Raza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Gandarias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Blumenschein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Cartwright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Raza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Gandarias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Blumenschein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Cartwright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Raza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Gandarias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Blumenschein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Cartwright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Raza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Gandarias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Blumenschein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Cartwright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Raza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Gandarias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Blumenschein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Cartwright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Raza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Gandarias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Blumenschein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Cartwright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Raza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Gandarias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Blumenschein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Cartwright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Raza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Gandarias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Blumenschein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Cartwright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Raza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Gandarias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Blumenschein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Cartwright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Raza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Gandarias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Blumenschein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Cartwright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Raza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Gandarias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Blumenschein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Cartwright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Raza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183</v>
      </c>
      <c r="C3" s="127" t="s">
        <v>99</v>
      </c>
      <c r="D3" s="128">
        <f t="shared" ref="D3:J3" si="1">SUMPRODUCT(D10:D90,MOD(ROW(D10:D90),2)=0)</f>
        <v>11</v>
      </c>
      <c r="E3" s="128">
        <f t="shared" si="1"/>
        <v>3</v>
      </c>
      <c r="F3" s="128">
        <f t="shared" si="1"/>
        <v>0</v>
      </c>
      <c r="G3" s="128">
        <f t="shared" si="1"/>
        <v>1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82</v>
      </c>
      <c r="M3" s="128">
        <f t="shared" ref="M3:S3" si="2">SUMPRODUCT(M10:M90,MOD(ROW(M10:M90),2)=0)</f>
        <v>12</v>
      </c>
      <c r="N3" s="128">
        <f t="shared" si="2"/>
        <v>4</v>
      </c>
      <c r="O3" s="128">
        <f t="shared" si="2"/>
        <v>0</v>
      </c>
      <c r="P3" s="128">
        <f t="shared" si="2"/>
        <v>1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81</v>
      </c>
      <c r="D4" s="133">
        <f t="shared" ref="D4:J4" si="3">SUMPRODUCT(D10:D90,MOD(ROW(D10:D90),2))</f>
        <v>10</v>
      </c>
      <c r="E4" s="133">
        <f t="shared" si="3"/>
        <v>4</v>
      </c>
      <c r="F4" s="133">
        <f t="shared" si="3"/>
        <v>1</v>
      </c>
      <c r="G4" s="133">
        <f t="shared" si="3"/>
        <v>1</v>
      </c>
      <c r="H4" s="133">
        <f t="shared" si="3"/>
        <v>1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100</v>
      </c>
      <c r="M4" s="133">
        <f t="shared" ref="M4:S4" si="4">SUMPRODUCT(M10:M90,MOD(ROW(M10:M90),2))</f>
        <v>12</v>
      </c>
      <c r="N4" s="133">
        <f t="shared" si="4"/>
        <v>4</v>
      </c>
      <c r="O4" s="133">
        <f t="shared" si="4"/>
        <v>0</v>
      </c>
      <c r="P4" s="133">
        <f t="shared" si="4"/>
        <v>0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Stolz %</v>
      </c>
      <c r="D5" s="137">
        <f t="shared" ref="D5:D6" si="6">IFERROR((E3/(E3+D3)),0)</f>
        <v>0.2142857143</v>
      </c>
      <c r="K5" s="135"/>
      <c r="L5" s="136" t="str">
        <f t="shared" ref="L5:L6" si="7">IFERROR((L10 &amp;" %"), "")</f>
        <v> Mies %</v>
      </c>
      <c r="M5" s="137">
        <f t="shared" ref="M5:M6" si="8">IFERROR((N3/(N3+M3)),0)</f>
        <v>0.25</v>
      </c>
      <c r="S5" s="132"/>
      <c r="T5" s="132"/>
      <c r="U5" s="7"/>
    </row>
    <row r="6">
      <c r="A6" s="14"/>
      <c r="B6" s="138"/>
      <c r="C6" s="139" t="str">
        <f t="shared" si="5"/>
        <v> Creamer %</v>
      </c>
      <c r="D6" s="140">
        <f t="shared" si="6"/>
        <v>0.2857142857</v>
      </c>
      <c r="E6" s="141"/>
      <c r="F6" s="141"/>
      <c r="G6" s="141"/>
      <c r="H6" s="141"/>
      <c r="I6" s="141"/>
      <c r="J6" s="141"/>
      <c r="K6" s="138"/>
      <c r="L6" s="139" t="str">
        <f t="shared" si="7"/>
        <v> Gathy %</v>
      </c>
      <c r="M6" s="142">
        <f t="shared" si="8"/>
        <v>0.25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Stolz")</f>
        <v> Stolz</v>
      </c>
      <c r="D10" s="149">
        <v>1.0</v>
      </c>
      <c r="E10" s="150"/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Mies")</f>
        <v> Mies</v>
      </c>
      <c r="M10" s="153"/>
      <c r="N10" s="150">
        <v>1.0</v>
      </c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Creamer")</f>
        <v> Creamer</v>
      </c>
      <c r="D11" s="149">
        <v>1.0</v>
      </c>
      <c r="E11" s="154"/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Gathy")</f>
        <v> Gathy</v>
      </c>
      <c r="M11" s="149">
        <v>1.0</v>
      </c>
      <c r="N11" s="154"/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Stolz</v>
      </c>
      <c r="D12" s="149">
        <v>1.0</v>
      </c>
      <c r="E12" s="150"/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Mies</v>
      </c>
      <c r="M12" s="149">
        <v>1.0</v>
      </c>
      <c r="N12" s="154"/>
      <c r="O12" s="133"/>
      <c r="P12" s="151">
        <v>1.0</v>
      </c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Creamer</v>
      </c>
      <c r="D13" s="149">
        <v>1.0</v>
      </c>
      <c r="E13" s="154"/>
      <c r="F13" s="133"/>
      <c r="G13" s="133"/>
      <c r="H13" s="151">
        <v>1.0</v>
      </c>
      <c r="I13" s="133"/>
      <c r="J13" s="152"/>
      <c r="K13" s="135">
        <f t="shared" si="11"/>
        <v>2</v>
      </c>
      <c r="L13" s="156" t="str">
        <f t="shared" si="12"/>
        <v> Gathy</v>
      </c>
      <c r="M13" s="153"/>
      <c r="N13" s="150">
        <v>1.0</v>
      </c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Stolz</v>
      </c>
      <c r="D14" s="149">
        <v>1.0</v>
      </c>
      <c r="E14" s="150"/>
      <c r="F14" s="133"/>
      <c r="G14" s="151">
        <v>1.0</v>
      </c>
      <c r="H14" s="133"/>
      <c r="I14" s="133"/>
      <c r="J14" s="152"/>
      <c r="K14" s="129">
        <f t="shared" si="11"/>
        <v>3</v>
      </c>
      <c r="L14" s="156" t="str">
        <f t="shared" si="12"/>
        <v> Mies</v>
      </c>
      <c r="M14" s="149">
        <v>1.0</v>
      </c>
      <c r="N14" s="157"/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Creamer</v>
      </c>
      <c r="D15" s="153"/>
      <c r="E15" s="150">
        <v>1.0</v>
      </c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Gathy</v>
      </c>
      <c r="M15" s="149">
        <v>1.0</v>
      </c>
      <c r="N15" s="157"/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Stolz</v>
      </c>
      <c r="D16" s="149">
        <v>1.0</v>
      </c>
      <c r="E16" s="157"/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Mies</v>
      </c>
      <c r="M16" s="149">
        <v>1.0</v>
      </c>
      <c r="N16" s="157"/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Creamer</v>
      </c>
      <c r="D17" s="149">
        <v>1.0</v>
      </c>
      <c r="E17" s="154"/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Gathy</v>
      </c>
      <c r="M17" s="158"/>
      <c r="N17" s="150">
        <v>1.0</v>
      </c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Stolz</v>
      </c>
      <c r="D18" s="149">
        <v>1.0</v>
      </c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Mies</v>
      </c>
      <c r="M18" s="149">
        <v>1.0</v>
      </c>
      <c r="N18" s="157"/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Creamer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Gathy</v>
      </c>
      <c r="M19" s="158"/>
      <c r="N19" s="150">
        <v>1.0</v>
      </c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Stolz</v>
      </c>
      <c r="D20" s="158"/>
      <c r="E20" s="150">
        <v>1.0</v>
      </c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Mies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Creamer</v>
      </c>
      <c r="D21" s="149">
        <v>1.0</v>
      </c>
      <c r="E21" s="157"/>
      <c r="F21" s="133"/>
      <c r="G21" s="151">
        <v>1.0</v>
      </c>
      <c r="H21" s="133"/>
      <c r="I21" s="133"/>
      <c r="J21" s="152"/>
      <c r="K21" s="135">
        <f t="shared" si="11"/>
        <v>6</v>
      </c>
      <c r="L21" s="156" t="str">
        <f t="shared" si="12"/>
        <v> Gathy</v>
      </c>
      <c r="M21" s="149">
        <v>1.0</v>
      </c>
      <c r="N21" s="157"/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Stolz</v>
      </c>
      <c r="D22" s="149">
        <v>1.0</v>
      </c>
      <c r="E22" s="157"/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 Mies</v>
      </c>
      <c r="M22" s="149">
        <v>1.0</v>
      </c>
      <c r="N22" s="157"/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Creamer</v>
      </c>
      <c r="D23" s="149">
        <v>1.0</v>
      </c>
      <c r="E23" s="157"/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Gathy</v>
      </c>
      <c r="M23" s="149">
        <v>1.0</v>
      </c>
      <c r="N23" s="157"/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Stolz</v>
      </c>
      <c r="D24" s="149">
        <v>1.0</v>
      </c>
      <c r="E24" s="157"/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Mies</v>
      </c>
      <c r="M24" s="153"/>
      <c r="N24" s="150">
        <v>1.0</v>
      </c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Creamer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Gathy</v>
      </c>
      <c r="M25" s="158"/>
      <c r="N25" s="150">
        <v>1.0</v>
      </c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Stolz</v>
      </c>
      <c r="D26" s="149">
        <v>1.0</v>
      </c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Mies</v>
      </c>
      <c r="M26" s="149">
        <v>1.0</v>
      </c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Creamer</v>
      </c>
      <c r="D27" s="153"/>
      <c r="E27" s="150">
        <v>1.0</v>
      </c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Gathy</v>
      </c>
      <c r="M27" s="149">
        <v>1.0</v>
      </c>
      <c r="N27" s="157"/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Stolz</v>
      </c>
      <c r="D28" s="153"/>
      <c r="E28" s="150">
        <v>1.0</v>
      </c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Mies</v>
      </c>
      <c r="M28" s="149"/>
      <c r="N28" s="150">
        <v>1.0</v>
      </c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Creamer</v>
      </c>
      <c r="D29" s="149">
        <v>1.0</v>
      </c>
      <c r="E29" s="157"/>
      <c r="F29" s="151">
        <v>1.0</v>
      </c>
      <c r="G29" s="133"/>
      <c r="H29" s="133"/>
      <c r="I29" s="133"/>
      <c r="J29" s="152"/>
      <c r="K29" s="135">
        <f t="shared" si="11"/>
        <v>10</v>
      </c>
      <c r="L29" s="156" t="str">
        <f t="shared" si="12"/>
        <v> Gathy</v>
      </c>
      <c r="M29" s="149">
        <v>1.0</v>
      </c>
      <c r="N29" s="157"/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Stolz</v>
      </c>
      <c r="D30" s="149">
        <v>1.0</v>
      </c>
      <c r="E30" s="157"/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Mies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Creamer</v>
      </c>
      <c r="D31" s="149">
        <v>1.0</v>
      </c>
      <c r="E31" s="157"/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Gathy</v>
      </c>
      <c r="M31" s="149">
        <v>1.0</v>
      </c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Stolz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Mies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Creamer</v>
      </c>
      <c r="D33" s="153"/>
      <c r="E33" s="150">
        <v>1.0</v>
      </c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Gathy</v>
      </c>
      <c r="M33" s="149">
        <v>1.0</v>
      </c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Stolz</v>
      </c>
      <c r="D34" s="149">
        <v>1.0</v>
      </c>
      <c r="E34" s="157"/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Mies</v>
      </c>
      <c r="M34" s="149">
        <v>1.0</v>
      </c>
      <c r="N34" s="157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Creamer</v>
      </c>
      <c r="D35" s="149">
        <v>1.0</v>
      </c>
      <c r="E35" s="157"/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 Gathy</v>
      </c>
      <c r="M35" s="149">
        <v>1.0</v>
      </c>
      <c r="N35" s="157"/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Stolz</v>
      </c>
      <c r="D36" s="153"/>
      <c r="E36" s="150">
        <v>1.0</v>
      </c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Mies</v>
      </c>
      <c r="M36" s="149">
        <v>1.0</v>
      </c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Creamer</v>
      </c>
      <c r="D37" s="153"/>
      <c r="E37" s="150">
        <v>1.0</v>
      </c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Gathy</v>
      </c>
      <c r="M37" s="149">
        <v>1.0</v>
      </c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Stolz</v>
      </c>
      <c r="D38" s="153"/>
      <c r="E38" s="157"/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Mies</v>
      </c>
      <c r="M38" s="153"/>
      <c r="N38" s="150">
        <v>1.0</v>
      </c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Creamer</v>
      </c>
      <c r="D39" s="153"/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Gathy</v>
      </c>
      <c r="M39" s="149">
        <v>1.0</v>
      </c>
      <c r="N39" s="157"/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Stolz</v>
      </c>
      <c r="D40" s="159"/>
      <c r="E40" s="160"/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Mies</v>
      </c>
      <c r="M40" s="149">
        <v>1.0</v>
      </c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Creamer</v>
      </c>
      <c r="D41" s="159"/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Gathy</v>
      </c>
      <c r="M41" s="149">
        <v>1.0</v>
      </c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Stolz</v>
      </c>
      <c r="D42" s="159"/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Mies</v>
      </c>
      <c r="M42" s="153"/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Creamer</v>
      </c>
      <c r="D43" s="162"/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Gathy</v>
      </c>
      <c r="M43" s="159"/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Stolz</v>
      </c>
      <c r="D44" s="159"/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Mies</v>
      </c>
      <c r="M44" s="159"/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Creamer</v>
      </c>
      <c r="D45" s="159"/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Gathy</v>
      </c>
      <c r="M45" s="159"/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Stolz</v>
      </c>
      <c r="D46" s="159"/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Mies</v>
      </c>
      <c r="M46" s="159"/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Creamer</v>
      </c>
      <c r="D47" s="159"/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Gathy</v>
      </c>
      <c r="M47" s="159"/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Stolz</v>
      </c>
      <c r="D48" s="159"/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Mies</v>
      </c>
      <c r="M48" s="162"/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Creamer</v>
      </c>
      <c r="D49" s="162"/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Gathy</v>
      </c>
      <c r="M49" s="159"/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Stolz</v>
      </c>
      <c r="D50" s="159"/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Mies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Creamer</v>
      </c>
      <c r="D51" s="159"/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Gathy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Stolz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Mies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Creamer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Gathy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Stolz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Mies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Creamer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Gathy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Stolz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Mies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Creamer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Gathy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Stolz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Mies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Creamer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Gathy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Stolz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Mies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Creamer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Gathy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Stolz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Mies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Creamer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Gathy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Stolz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Mies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Creamer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Gathy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Stolz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Mies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Creamer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Gathy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Stolz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Mies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Creamer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Gathy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Stolz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Mies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Creamer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Gathy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Stolz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Mies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Creamer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Gathy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Stolz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Mies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Creamer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Gathy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Stolz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Mies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Creamer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Gathy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Stolz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Mies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Creamer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Gathy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Stolz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Mies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Creamer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Gathy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Stolz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Mies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Creamer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Gathy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Stolz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Mies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Creamer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Gathy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Stolz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Mies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Creamer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Gathy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Stolz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Mies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Creamer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Gathy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86</v>
      </c>
      <c r="D3" s="128">
        <f t="shared" ref="D3:J3" si="1">SUMPRODUCT(D10:D90,MOD(ROW(D10:D90),2)=0)</f>
        <v>11</v>
      </c>
      <c r="E3" s="128">
        <f t="shared" si="1"/>
        <v>4</v>
      </c>
      <c r="F3" s="128">
        <f t="shared" si="1"/>
        <v>1</v>
      </c>
      <c r="G3" s="128">
        <f t="shared" si="1"/>
        <v>0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76</v>
      </c>
      <c r="M3" s="128">
        <f t="shared" ref="M3:S3" si="2">SUMPRODUCT(M10:M90,MOD(ROW(M10:M90),2)=0)</f>
        <v>6</v>
      </c>
      <c r="N3" s="128">
        <f t="shared" si="2"/>
        <v>6</v>
      </c>
      <c r="O3" s="128">
        <f t="shared" si="2"/>
        <v>0</v>
      </c>
      <c r="P3" s="128">
        <f t="shared" si="2"/>
        <v>1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127</v>
      </c>
      <c r="D4" s="133">
        <f t="shared" ref="D4:J4" si="3">SUMPRODUCT(D10:D90,MOD(ROW(D10:D90),2))</f>
        <v>11</v>
      </c>
      <c r="E4" s="133">
        <f t="shared" si="3"/>
        <v>3</v>
      </c>
      <c r="F4" s="133">
        <f t="shared" si="3"/>
        <v>0</v>
      </c>
      <c r="G4" s="133">
        <f t="shared" si="3"/>
        <v>1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85</v>
      </c>
      <c r="M4" s="133">
        <f t="shared" ref="M4:S4" si="4">SUMPRODUCT(M10:M90,MOD(ROW(M10:M90),2))</f>
        <v>8</v>
      </c>
      <c r="N4" s="133">
        <f t="shared" si="4"/>
        <v>4</v>
      </c>
      <c r="O4" s="133">
        <f t="shared" si="4"/>
        <v>0</v>
      </c>
      <c r="P4" s="133">
        <f t="shared" si="4"/>
        <v>0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Tolsma %</v>
      </c>
      <c r="D5" s="137">
        <f t="shared" ref="D5:D6" si="6">IFERROR((E3/(E3+D3)),0)</f>
        <v>0.2666666667</v>
      </c>
      <c r="K5" s="135"/>
      <c r="L5" s="136" t="str">
        <f t="shared" ref="L5:L6" si="7">IFERROR((L10 &amp;" %"), "")</f>
        <v> Lawry %</v>
      </c>
      <c r="M5" s="137">
        <f t="shared" ref="M5:M6" si="8">IFERROR((N3/(N3+M3)),0)</f>
        <v>0.5</v>
      </c>
      <c r="S5" s="132"/>
      <c r="T5" s="132"/>
      <c r="U5" s="7"/>
    </row>
    <row r="6">
      <c r="A6" s="14"/>
      <c r="B6" s="138"/>
      <c r="C6" s="139" t="str">
        <f t="shared" si="5"/>
        <v> Garcia %</v>
      </c>
      <c r="D6" s="140">
        <f t="shared" si="6"/>
        <v>0.2142857143</v>
      </c>
      <c r="E6" s="141"/>
      <c r="F6" s="141"/>
      <c r="G6" s="141"/>
      <c r="H6" s="141"/>
      <c r="I6" s="141"/>
      <c r="J6" s="141"/>
      <c r="K6" s="138"/>
      <c r="L6" s="139" t="str">
        <f t="shared" si="7"/>
        <v> Brandon %</v>
      </c>
      <c r="M6" s="142">
        <f t="shared" si="8"/>
        <v>0.3333333333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Tolsma")</f>
        <v> Tolsma</v>
      </c>
      <c r="D10" s="149">
        <v>1.0</v>
      </c>
      <c r="E10" s="150"/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Lawry")</f>
        <v> Lawry</v>
      </c>
      <c r="M10" s="149">
        <v>1.0</v>
      </c>
      <c r="N10" s="154"/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Garcia")</f>
        <v> Garcia</v>
      </c>
      <c r="D11" s="149"/>
      <c r="E11" s="150">
        <v>1.0</v>
      </c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Brandon")</f>
        <v> Brandon</v>
      </c>
      <c r="M11" s="149">
        <v>1.0</v>
      </c>
      <c r="N11" s="154"/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Tolsma</v>
      </c>
      <c r="D12" s="153"/>
      <c r="E12" s="150">
        <v>1.0</v>
      </c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Lawry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Garcia</v>
      </c>
      <c r="D13" s="149"/>
      <c r="E13" s="150">
        <v>1.0</v>
      </c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Brandon</v>
      </c>
      <c r="M13" s="153"/>
      <c r="N13" s="150">
        <v>1.0</v>
      </c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Tolsma</v>
      </c>
      <c r="D14" s="149">
        <v>1.0</v>
      </c>
      <c r="E14" s="150"/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Lawry</v>
      </c>
      <c r="M14" s="153"/>
      <c r="N14" s="150">
        <v>1.0</v>
      </c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Garcia</v>
      </c>
      <c r="D15" s="149">
        <v>1.0</v>
      </c>
      <c r="E15" s="150"/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Brandon</v>
      </c>
      <c r="M15" s="149">
        <v>1.0</v>
      </c>
      <c r="N15" s="157"/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Tolsma</v>
      </c>
      <c r="D16" s="149">
        <v>1.0</v>
      </c>
      <c r="E16" s="157"/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Lawry</v>
      </c>
      <c r="M16" s="153"/>
      <c r="N16" s="150">
        <v>1.0</v>
      </c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Garcia</v>
      </c>
      <c r="D17" s="149">
        <v>1.0</v>
      </c>
      <c r="E17" s="154"/>
      <c r="F17" s="133"/>
      <c r="G17" s="151">
        <v>1.0</v>
      </c>
      <c r="H17" s="133"/>
      <c r="I17" s="133"/>
      <c r="J17" s="152"/>
      <c r="K17" s="135">
        <f t="shared" si="11"/>
        <v>4</v>
      </c>
      <c r="L17" s="156" t="str">
        <f t="shared" si="12"/>
        <v> Brandon</v>
      </c>
      <c r="M17" s="149">
        <v>1.0</v>
      </c>
      <c r="N17" s="154"/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Tolsma</v>
      </c>
      <c r="D18" s="149">
        <v>1.0</v>
      </c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Lawry</v>
      </c>
      <c r="M18" s="149"/>
      <c r="N18" s="150">
        <v>1.0</v>
      </c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Garcia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Brandon</v>
      </c>
      <c r="M19" s="149">
        <v>1.0</v>
      </c>
      <c r="N19" s="154"/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Tolsma</v>
      </c>
      <c r="D20" s="149">
        <v>1.0</v>
      </c>
      <c r="E20" s="154"/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Lawry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Garcia</v>
      </c>
      <c r="D21" s="149">
        <v>1.0</v>
      </c>
      <c r="E21" s="157"/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Brandon</v>
      </c>
      <c r="M21" s="153"/>
      <c r="N21" s="150">
        <v>1.0</v>
      </c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Tolsma</v>
      </c>
      <c r="D22" s="149">
        <v>1.0</v>
      </c>
      <c r="E22" s="157"/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 Lawry</v>
      </c>
      <c r="M22" s="153"/>
      <c r="N22" s="150">
        <v>1.0</v>
      </c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Garcia</v>
      </c>
      <c r="D23" s="149">
        <v>1.0</v>
      </c>
      <c r="E23" s="157"/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Brandon</v>
      </c>
      <c r="M23" s="149">
        <v>1.0</v>
      </c>
      <c r="N23" s="157"/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Tolsma</v>
      </c>
      <c r="D24" s="149">
        <v>1.0</v>
      </c>
      <c r="E24" s="157"/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Lawry</v>
      </c>
      <c r="M24" s="149">
        <v>1.0</v>
      </c>
      <c r="N24" s="157"/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Garcia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Brandon</v>
      </c>
      <c r="M25" s="149">
        <v>1.0</v>
      </c>
      <c r="N25" s="154"/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Tolsma</v>
      </c>
      <c r="D26" s="153"/>
      <c r="E26" s="150">
        <v>1.0</v>
      </c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Lawry</v>
      </c>
      <c r="M26" s="153"/>
      <c r="N26" s="150">
        <v>1.0</v>
      </c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Garcia</v>
      </c>
      <c r="D27" s="149">
        <v>1.0</v>
      </c>
      <c r="E27" s="157"/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Brandon</v>
      </c>
      <c r="M27" s="153"/>
      <c r="N27" s="150">
        <v>1.0</v>
      </c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Tolsma</v>
      </c>
      <c r="D28" s="153"/>
      <c r="E28" s="150">
        <v>1.0</v>
      </c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Lawry</v>
      </c>
      <c r="M28" s="149">
        <v>1.0</v>
      </c>
      <c r="N28" s="157"/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Garcia</v>
      </c>
      <c r="D29" s="153"/>
      <c r="E29" s="150">
        <v>1.0</v>
      </c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Brandon</v>
      </c>
      <c r="M29" s="149">
        <v>1.0</v>
      </c>
      <c r="N29" s="157"/>
      <c r="O29" s="133"/>
      <c r="P29" s="151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Tolsma</v>
      </c>
      <c r="D30" s="149">
        <v>1.0</v>
      </c>
      <c r="E30" s="157"/>
      <c r="F30" s="151">
        <v>1.0</v>
      </c>
      <c r="G30" s="133"/>
      <c r="H30" s="133"/>
      <c r="I30" s="133"/>
      <c r="J30" s="152"/>
      <c r="K30" s="129">
        <f t="shared" si="11"/>
        <v>11</v>
      </c>
      <c r="L30" s="156" t="str">
        <f t="shared" si="12"/>
        <v> Lawry</v>
      </c>
      <c r="M30" s="153"/>
      <c r="N30" s="150">
        <v>1.0</v>
      </c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Garcia</v>
      </c>
      <c r="D31" s="149">
        <v>1.0</v>
      </c>
      <c r="E31" s="157"/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Brandon</v>
      </c>
      <c r="M31" s="149">
        <v>1.0</v>
      </c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Tolsma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Lawry</v>
      </c>
      <c r="M32" s="149">
        <v>1.0</v>
      </c>
      <c r="N32" s="157"/>
      <c r="O32" s="133"/>
      <c r="P32" s="151">
        <v>1.0</v>
      </c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Garcia</v>
      </c>
      <c r="D33" s="149">
        <v>1.0</v>
      </c>
      <c r="E33" s="157"/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Brandon</v>
      </c>
      <c r="M33" s="158"/>
      <c r="N33" s="150">
        <v>1.0</v>
      </c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Tolsma</v>
      </c>
      <c r="D34" s="149">
        <v>1.0</v>
      </c>
      <c r="E34" s="157"/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Lawry</v>
      </c>
      <c r="M34" s="153"/>
      <c r="N34" s="157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Garcia</v>
      </c>
      <c r="D35" s="149">
        <v>1.0</v>
      </c>
      <c r="E35" s="157"/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 Brandon</v>
      </c>
      <c r="M35" s="153"/>
      <c r="N35" s="157"/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Tolsma</v>
      </c>
      <c r="D36" s="153"/>
      <c r="E36" s="150">
        <v>1.0</v>
      </c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Lawry</v>
      </c>
      <c r="M36" s="153"/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Garcia</v>
      </c>
      <c r="D37" s="149">
        <v>1.0</v>
      </c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Brandon</v>
      </c>
      <c r="M37" s="153"/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Tolsma</v>
      </c>
      <c r="D38" s="149">
        <v>1.0</v>
      </c>
      <c r="E38" s="157"/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Lawry</v>
      </c>
      <c r="M38" s="153"/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Garcia</v>
      </c>
      <c r="D39" s="153"/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Brandon</v>
      </c>
      <c r="M39" s="153"/>
      <c r="N39" s="157"/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Tolsma</v>
      </c>
      <c r="D40" s="159"/>
      <c r="E40" s="160"/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Lawry</v>
      </c>
      <c r="M40" s="153"/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Garcia</v>
      </c>
      <c r="D41" s="159"/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Brandon</v>
      </c>
      <c r="M41" s="158"/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Tolsma</v>
      </c>
      <c r="D42" s="159"/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Lawry</v>
      </c>
      <c r="M42" s="153"/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Garcia</v>
      </c>
      <c r="D43" s="162"/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Brandon</v>
      </c>
      <c r="M43" s="159"/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Tolsma</v>
      </c>
      <c r="D44" s="159"/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Lawry</v>
      </c>
      <c r="M44" s="159"/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Garcia</v>
      </c>
      <c r="D45" s="159"/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Brandon</v>
      </c>
      <c r="M45" s="159"/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Tolsma</v>
      </c>
      <c r="D46" s="159"/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Lawry</v>
      </c>
      <c r="M46" s="159"/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Garcia</v>
      </c>
      <c r="D47" s="159"/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Brandon</v>
      </c>
      <c r="M47" s="159"/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Tolsma</v>
      </c>
      <c r="D48" s="159"/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Lawry</v>
      </c>
      <c r="M48" s="162"/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Garcia</v>
      </c>
      <c r="D49" s="162"/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Brandon</v>
      </c>
      <c r="M49" s="159"/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Tolsma</v>
      </c>
      <c r="D50" s="159"/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Lawry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Garcia</v>
      </c>
      <c r="D51" s="159"/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Brandon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Tolsma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Lawry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Garcia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Brandon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Tolsma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Lawry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Garcia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Brandon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Tolsma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Lawry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Garcia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Brandon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Tolsma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Lawry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Garcia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Brandon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Tolsma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Lawry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Garcia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Brandon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Tolsma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Lawry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Garcia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Brandon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Tolsma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Lawry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Garcia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Brandon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Tolsma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Lawry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Garcia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Brandon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Tolsma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Lawry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Garcia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Brandon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Tolsma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Lawry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Garcia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Brandon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Tolsma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Lawry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Garcia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Brandon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Tolsma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Lawry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Garcia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Brandon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Tolsma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Lawry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Garcia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Brandon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Tolsma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Lawry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Garcia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Brandon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Tolsma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Lawry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Garcia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Brandon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Tolsma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Lawry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Garcia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Brandon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Tolsma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Lawry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Garcia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Brandon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Tolsma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Lawry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Garcia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Brandon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Tolsma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Lawry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Garcia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Brandon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92</v>
      </c>
      <c r="D3" s="128">
        <f t="shared" ref="D3:J3" si="1">SUMPRODUCT(D10:D90,MOD(ROW(D10:D90),2)=0)</f>
        <v>23</v>
      </c>
      <c r="E3" s="128">
        <f t="shared" si="1"/>
        <v>6</v>
      </c>
      <c r="F3" s="128">
        <f t="shared" si="1"/>
        <v>1</v>
      </c>
      <c r="G3" s="128">
        <f t="shared" si="1"/>
        <v>3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136</v>
      </c>
      <c r="M3" s="128">
        <f t="shared" ref="M3:S3" si="2">SUMPRODUCT(M10:M90,MOD(ROW(M10:M90),2)=0)</f>
        <v>25</v>
      </c>
      <c r="N3" s="128">
        <f t="shared" si="2"/>
        <v>5</v>
      </c>
      <c r="O3" s="128">
        <f t="shared" si="2"/>
        <v>2</v>
      </c>
      <c r="P3" s="128">
        <f t="shared" si="2"/>
        <v>2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124</v>
      </c>
      <c r="D4" s="133">
        <f t="shared" ref="D4:J4" si="3">SUMPRODUCT(D10:D90,MOD(ROW(D10:D90),2))</f>
        <v>26</v>
      </c>
      <c r="E4" s="133">
        <f t="shared" si="3"/>
        <v>3</v>
      </c>
      <c r="F4" s="133">
        <f t="shared" si="3"/>
        <v>1</v>
      </c>
      <c r="G4" s="133">
        <f t="shared" si="3"/>
        <v>3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91</v>
      </c>
      <c r="M4" s="133">
        <f t="shared" ref="M4:S4" si="4">SUMPRODUCT(M10:M90,MOD(ROW(M10:M90),2))</f>
        <v>25</v>
      </c>
      <c r="N4" s="133">
        <f t="shared" si="4"/>
        <v>5</v>
      </c>
      <c r="O4" s="133">
        <f t="shared" si="4"/>
        <v>8</v>
      </c>
      <c r="P4" s="133">
        <f t="shared" si="4"/>
        <v>1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Doody %</v>
      </c>
      <c r="D5" s="137">
        <f t="shared" ref="D5:D6" si="6">IFERROR((E3/(E3+D3)),0)</f>
        <v>0.2068965517</v>
      </c>
      <c r="K5" s="135"/>
      <c r="L5" s="136" t="str">
        <f t="shared" ref="L5:L6" si="7">IFERROR((L10 &amp;" %"), "")</f>
        <v> Schroeder %</v>
      </c>
      <c r="M5" s="137">
        <f t="shared" ref="M5:M6" si="8">IFERROR((N3/(N3+M3)),0)</f>
        <v>0.1666666667</v>
      </c>
      <c r="S5" s="132"/>
      <c r="T5" s="132"/>
      <c r="U5" s="7"/>
    </row>
    <row r="6">
      <c r="A6" s="14"/>
      <c r="B6" s="138"/>
      <c r="C6" s="139" t="str">
        <f t="shared" si="5"/>
        <v> Morrison %</v>
      </c>
      <c r="D6" s="140">
        <f t="shared" si="6"/>
        <v>0.1034482759</v>
      </c>
      <c r="E6" s="141"/>
      <c r="F6" s="141"/>
      <c r="G6" s="141"/>
      <c r="H6" s="141"/>
      <c r="I6" s="141"/>
      <c r="J6" s="141"/>
      <c r="K6" s="138"/>
      <c r="L6" s="139" t="str">
        <f t="shared" si="7"/>
        <v> Lewis %</v>
      </c>
      <c r="M6" s="142">
        <f t="shared" si="8"/>
        <v>0.1666666667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Doody")</f>
        <v> Doody</v>
      </c>
      <c r="D10" s="149"/>
      <c r="E10" s="150">
        <v>1.0</v>
      </c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Schroeder")</f>
        <v> Schroeder</v>
      </c>
      <c r="M10" s="149">
        <v>1.0</v>
      </c>
      <c r="N10" s="154"/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Morrison")</f>
        <v> Morrison</v>
      </c>
      <c r="D11" s="149">
        <v>1.0</v>
      </c>
      <c r="E11" s="154"/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Lewis")</f>
        <v> Lewis</v>
      </c>
      <c r="M11" s="149">
        <v>1.0</v>
      </c>
      <c r="N11" s="154"/>
      <c r="O11" s="151">
        <v>1.0</v>
      </c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Doody</v>
      </c>
      <c r="D12" s="153"/>
      <c r="E12" s="150">
        <v>1.0</v>
      </c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Schroeder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Morrison</v>
      </c>
      <c r="D13" s="149">
        <v>1.0</v>
      </c>
      <c r="E13" s="154"/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Lewis</v>
      </c>
      <c r="M13" s="149">
        <v>1.0</v>
      </c>
      <c r="N13" s="157"/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Doody</v>
      </c>
      <c r="D14" s="149">
        <v>1.0</v>
      </c>
      <c r="E14" s="150"/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Schroeder</v>
      </c>
      <c r="M14" s="149">
        <v>1.0</v>
      </c>
      <c r="N14" s="157"/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Morrison</v>
      </c>
      <c r="D15" s="149">
        <v>1.0</v>
      </c>
      <c r="E15" s="150"/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Lewis</v>
      </c>
      <c r="M15" s="149">
        <v>1.0</v>
      </c>
      <c r="N15" s="157"/>
      <c r="O15" s="151">
        <v>1.0</v>
      </c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Doody</v>
      </c>
      <c r="D16" s="149">
        <v>1.0</v>
      </c>
      <c r="E16" s="157"/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Schroeder</v>
      </c>
      <c r="M16" s="149">
        <v>1.0</v>
      </c>
      <c r="N16" s="157"/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Morrison</v>
      </c>
      <c r="D17" s="149">
        <v>1.0</v>
      </c>
      <c r="E17" s="154"/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Lewis</v>
      </c>
      <c r="M17" s="149">
        <v>1.0</v>
      </c>
      <c r="N17" s="154"/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Doody</v>
      </c>
      <c r="D18" s="149">
        <v>1.0</v>
      </c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Schroeder</v>
      </c>
      <c r="M18" s="153"/>
      <c r="N18" s="150">
        <v>1.0</v>
      </c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Morrison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Lewis</v>
      </c>
      <c r="M19" s="158"/>
      <c r="N19" s="150">
        <v>1.0</v>
      </c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Doody</v>
      </c>
      <c r="D20" s="149">
        <v>1.0</v>
      </c>
      <c r="E20" s="154"/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Schroeder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Morrison</v>
      </c>
      <c r="D21" s="149">
        <v>1.0</v>
      </c>
      <c r="E21" s="157"/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Lewis</v>
      </c>
      <c r="M21" s="149">
        <v>1.0</v>
      </c>
      <c r="N21" s="157"/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Doody</v>
      </c>
      <c r="D22" s="149">
        <v>1.0</v>
      </c>
      <c r="E22" s="157"/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 Schroeder</v>
      </c>
      <c r="M22" s="153"/>
      <c r="N22" s="150">
        <v>1.0</v>
      </c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Morrison</v>
      </c>
      <c r="D23" s="149">
        <v>1.0</v>
      </c>
      <c r="E23" s="157"/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Lewis</v>
      </c>
      <c r="M23" s="149">
        <v>1.0</v>
      </c>
      <c r="N23" s="157"/>
      <c r="O23" s="151">
        <v>1.0</v>
      </c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Doody</v>
      </c>
      <c r="D24" s="149">
        <v>1.0</v>
      </c>
      <c r="E24" s="157"/>
      <c r="F24" s="151">
        <v>1.0</v>
      </c>
      <c r="G24" s="133"/>
      <c r="H24" s="133"/>
      <c r="I24" s="133"/>
      <c r="J24" s="152"/>
      <c r="K24" s="129">
        <f t="shared" si="11"/>
        <v>8</v>
      </c>
      <c r="L24" s="156" t="str">
        <f t="shared" si="12"/>
        <v> Schroeder</v>
      </c>
      <c r="M24" s="149">
        <v>1.0</v>
      </c>
      <c r="N24" s="157"/>
      <c r="O24" s="133"/>
      <c r="P24" s="151">
        <v>1.0</v>
      </c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Morrison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Lewis</v>
      </c>
      <c r="M25" s="149">
        <v>1.0</v>
      </c>
      <c r="N25" s="154"/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Doody</v>
      </c>
      <c r="D26" s="149">
        <v>1.0</v>
      </c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Schroeder</v>
      </c>
      <c r="M26" s="149">
        <v>1.0</v>
      </c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Morrison</v>
      </c>
      <c r="D27" s="153"/>
      <c r="E27" s="150">
        <v>1.0</v>
      </c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Lewis</v>
      </c>
      <c r="M27" s="149">
        <v>1.0</v>
      </c>
      <c r="N27" s="157"/>
      <c r="O27" s="151">
        <v>1.0</v>
      </c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Doody</v>
      </c>
      <c r="D28" s="149">
        <v>1.0</v>
      </c>
      <c r="E28" s="157"/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Schroeder</v>
      </c>
      <c r="M28" s="149">
        <v>1.0</v>
      </c>
      <c r="N28" s="157"/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Morrison</v>
      </c>
      <c r="D29" s="149">
        <v>1.0</v>
      </c>
      <c r="E29" s="157"/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Lewis</v>
      </c>
      <c r="M29" s="149">
        <v>1.0</v>
      </c>
      <c r="N29" s="157"/>
      <c r="O29" s="133"/>
      <c r="P29" s="151">
        <v>1.0</v>
      </c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Doody</v>
      </c>
      <c r="D30" s="149">
        <v>1.0</v>
      </c>
      <c r="E30" s="157"/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Schroeder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Morrison</v>
      </c>
      <c r="D31" s="149">
        <v>1.0</v>
      </c>
      <c r="E31" s="157"/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Lewis</v>
      </c>
      <c r="M31" s="149">
        <v>1.0</v>
      </c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Doody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Schroeder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Morrison</v>
      </c>
      <c r="D33" s="149">
        <v>1.0</v>
      </c>
      <c r="E33" s="157"/>
      <c r="F33" s="151">
        <v>1.0</v>
      </c>
      <c r="G33" s="133"/>
      <c r="H33" s="133"/>
      <c r="I33" s="133"/>
      <c r="J33" s="152"/>
      <c r="K33" s="135">
        <f t="shared" si="11"/>
        <v>12</v>
      </c>
      <c r="L33" s="156" t="str">
        <f t="shared" si="12"/>
        <v> Lewis</v>
      </c>
      <c r="M33" s="149">
        <v>1.0</v>
      </c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Doody</v>
      </c>
      <c r="D34" s="149">
        <v>1.0</v>
      </c>
      <c r="E34" s="157"/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Schroeder</v>
      </c>
      <c r="M34" s="153"/>
      <c r="N34" s="150">
        <v>1.0</v>
      </c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Morrison</v>
      </c>
      <c r="D35" s="149">
        <v>1.0</v>
      </c>
      <c r="E35" s="157"/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 Lewis</v>
      </c>
      <c r="M35" s="153"/>
      <c r="N35" s="150">
        <v>1.0</v>
      </c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Doody</v>
      </c>
      <c r="D36" s="149">
        <v>1.0</v>
      </c>
      <c r="E36" s="157"/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Schroeder</v>
      </c>
      <c r="M36" s="149">
        <v>1.0</v>
      </c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Morrison</v>
      </c>
      <c r="D37" s="153"/>
      <c r="E37" s="150">
        <v>1.0</v>
      </c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Lewis</v>
      </c>
      <c r="M37" s="149">
        <v>1.0</v>
      </c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Doody</v>
      </c>
      <c r="D38" s="153"/>
      <c r="E38" s="150">
        <v>1.0</v>
      </c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Schroeder</v>
      </c>
      <c r="M38" s="149">
        <v>1.0</v>
      </c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Morrison</v>
      </c>
      <c r="D39" s="149">
        <v>1.0</v>
      </c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Lewis</v>
      </c>
      <c r="M39" s="149">
        <v>1.0</v>
      </c>
      <c r="N39" s="157"/>
      <c r="O39" s="151">
        <v>1.0</v>
      </c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Doody</v>
      </c>
      <c r="D40" s="159"/>
      <c r="E40" s="160">
        <v>1.0</v>
      </c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Schroeder</v>
      </c>
      <c r="M40" s="149">
        <v>1.0</v>
      </c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Morrison</v>
      </c>
      <c r="D41" s="159">
        <v>1.0</v>
      </c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Lewis</v>
      </c>
      <c r="M41" s="149">
        <v>1.0</v>
      </c>
      <c r="N41" s="154"/>
      <c r="O41" s="151">
        <v>1.0</v>
      </c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Doody</v>
      </c>
      <c r="D42" s="159"/>
      <c r="E42" s="160">
        <v>1.0</v>
      </c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Schroeder</v>
      </c>
      <c r="M42" s="153"/>
      <c r="N42" s="150">
        <v>1.0</v>
      </c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Morrison</v>
      </c>
      <c r="D43" s="159">
        <v>1.0</v>
      </c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Lewis</v>
      </c>
      <c r="M43" s="159">
        <v>1.0</v>
      </c>
      <c r="N43" s="161"/>
      <c r="O43" s="175">
        <v>1.0</v>
      </c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Doody</v>
      </c>
      <c r="D44" s="159">
        <v>1.0</v>
      </c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Schroeder</v>
      </c>
      <c r="M44" s="159">
        <v>1.0</v>
      </c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Morrison</v>
      </c>
      <c r="D45" s="159">
        <v>1.0</v>
      </c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Lewis</v>
      </c>
      <c r="M45" s="159"/>
      <c r="N45" s="160">
        <v>1.0</v>
      </c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Doody</v>
      </c>
      <c r="D46" s="159">
        <v>1.0</v>
      </c>
      <c r="E46" s="161"/>
      <c r="F46" s="133"/>
      <c r="G46" s="151">
        <v>1.0</v>
      </c>
      <c r="H46" s="133"/>
      <c r="I46" s="133"/>
      <c r="J46" s="152"/>
      <c r="K46" s="135">
        <f t="shared" si="11"/>
        <v>19</v>
      </c>
      <c r="L46" s="156" t="str">
        <f t="shared" si="12"/>
        <v> Schroeder</v>
      </c>
      <c r="M46" s="159">
        <v>1.0</v>
      </c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Morrison</v>
      </c>
      <c r="D47" s="159"/>
      <c r="E47" s="160">
        <v>1.0</v>
      </c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Lewis</v>
      </c>
      <c r="M47" s="159">
        <v>1.0</v>
      </c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Doody</v>
      </c>
      <c r="D48" s="159">
        <v>1.0</v>
      </c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Schroeder</v>
      </c>
      <c r="M48" s="159">
        <v>1.0</v>
      </c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Morrison</v>
      </c>
      <c r="D49" s="159">
        <v>1.0</v>
      </c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Lewis</v>
      </c>
      <c r="M49" s="159">
        <v>1.0</v>
      </c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Doody</v>
      </c>
      <c r="D50" s="159"/>
      <c r="E50" s="160">
        <v>1.0</v>
      </c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Schroeder</v>
      </c>
      <c r="M50" s="159"/>
      <c r="N50" s="160">
        <v>1.0</v>
      </c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Morrison</v>
      </c>
      <c r="D51" s="159">
        <v>1.0</v>
      </c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Lewis</v>
      </c>
      <c r="M51" s="159">
        <v>1.0</v>
      </c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Doody</v>
      </c>
      <c r="D52" s="159">
        <v>1.0</v>
      </c>
      <c r="E52" s="161"/>
      <c r="F52" s="133"/>
      <c r="G52" s="151">
        <v>1.0</v>
      </c>
      <c r="H52" s="133"/>
      <c r="I52" s="133"/>
      <c r="J52" s="152"/>
      <c r="K52" s="129">
        <f t="shared" si="11"/>
        <v>22</v>
      </c>
      <c r="L52" s="156" t="str">
        <f t="shared" si="12"/>
        <v> Schroeder</v>
      </c>
      <c r="M52" s="159">
        <v>1.0</v>
      </c>
      <c r="N52" s="161"/>
      <c r="O52" s="175">
        <v>1.0</v>
      </c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Morrison</v>
      </c>
      <c r="D53" s="159">
        <v>1.0</v>
      </c>
      <c r="E53" s="161"/>
      <c r="F53" s="133"/>
      <c r="G53" s="151">
        <v>1.0</v>
      </c>
      <c r="H53" s="133"/>
      <c r="I53" s="133"/>
      <c r="J53" s="152"/>
      <c r="K53" s="135">
        <f t="shared" si="11"/>
        <v>22</v>
      </c>
      <c r="L53" s="156" t="str">
        <f t="shared" si="12"/>
        <v> Lewis</v>
      </c>
      <c r="M53" s="159">
        <v>1.0</v>
      </c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Doody</v>
      </c>
      <c r="D54" s="159">
        <v>1.0</v>
      </c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Schroeder</v>
      </c>
      <c r="M54" s="159">
        <v>1.0</v>
      </c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Morrison</v>
      </c>
      <c r="D55" s="159">
        <v>1.0</v>
      </c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Lewis</v>
      </c>
      <c r="M55" s="162"/>
      <c r="N55" s="160">
        <v>1.0</v>
      </c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Doody</v>
      </c>
      <c r="D56" s="159">
        <v>1.0</v>
      </c>
      <c r="E56" s="161"/>
      <c r="F56" s="152"/>
      <c r="G56" s="175">
        <v>1.0</v>
      </c>
      <c r="H56" s="152"/>
      <c r="I56" s="152"/>
      <c r="J56" s="152"/>
      <c r="K56" s="129">
        <f t="shared" si="11"/>
        <v>24</v>
      </c>
      <c r="L56" s="156" t="str">
        <f t="shared" si="12"/>
        <v> Schroeder</v>
      </c>
      <c r="M56" s="159">
        <v>1.0</v>
      </c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Morrison</v>
      </c>
      <c r="D57" s="159">
        <v>1.0</v>
      </c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Lewis</v>
      </c>
      <c r="M57" s="159">
        <v>1.0</v>
      </c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Doody</v>
      </c>
      <c r="D58" s="159">
        <v>1.0</v>
      </c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Schroeder</v>
      </c>
      <c r="M58" s="159">
        <v>1.0</v>
      </c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Morrison</v>
      </c>
      <c r="D59" s="159">
        <v>1.0</v>
      </c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Lewis</v>
      </c>
      <c r="M59" s="159">
        <v>1.0</v>
      </c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Doody</v>
      </c>
      <c r="D60" s="159">
        <v>1.0</v>
      </c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Schroeder</v>
      </c>
      <c r="M60" s="159">
        <v>1.0</v>
      </c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Morrison</v>
      </c>
      <c r="D61" s="159">
        <v>1.0</v>
      </c>
      <c r="E61" s="161"/>
      <c r="F61" s="152"/>
      <c r="G61" s="175">
        <v>1.0</v>
      </c>
      <c r="H61" s="152"/>
      <c r="I61" s="152"/>
      <c r="J61" s="152"/>
      <c r="K61" s="129">
        <f t="shared" si="11"/>
        <v>26</v>
      </c>
      <c r="L61" s="156" t="str">
        <f t="shared" si="12"/>
        <v> Lewis</v>
      </c>
      <c r="M61" s="159">
        <v>1.0</v>
      </c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Doody</v>
      </c>
      <c r="D62" s="159">
        <v>1.0</v>
      </c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Schroeder</v>
      </c>
      <c r="M62" s="159">
        <v>1.0</v>
      </c>
      <c r="N62" s="161"/>
      <c r="O62" s="152"/>
      <c r="P62" s="175">
        <v>1.0</v>
      </c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Morrison</v>
      </c>
      <c r="D63" s="159">
        <v>1.0</v>
      </c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Lewis</v>
      </c>
      <c r="M63" s="159">
        <v>1.0</v>
      </c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Doody</v>
      </c>
      <c r="D64" s="159">
        <v>1.0</v>
      </c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Schroeder</v>
      </c>
      <c r="M64" s="159">
        <v>1.0</v>
      </c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Morrison</v>
      </c>
      <c r="D65" s="159">
        <v>1.0</v>
      </c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Lewis</v>
      </c>
      <c r="M65" s="159">
        <v>1.0</v>
      </c>
      <c r="N65" s="161"/>
      <c r="O65" s="175">
        <v>1.0</v>
      </c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Doody</v>
      </c>
      <c r="D66" s="159">
        <v>1.0</v>
      </c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Schroeder</v>
      </c>
      <c r="M66" s="159">
        <v>1.0</v>
      </c>
      <c r="N66" s="161"/>
      <c r="O66" s="175">
        <v>1.0</v>
      </c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Morrison</v>
      </c>
      <c r="D67" s="159">
        <v>1.0</v>
      </c>
      <c r="E67" s="161"/>
      <c r="F67" s="152"/>
      <c r="G67" s="175">
        <v>1.0</v>
      </c>
      <c r="H67" s="152"/>
      <c r="I67" s="152"/>
      <c r="J67" s="152"/>
      <c r="K67" s="135">
        <f t="shared" si="11"/>
        <v>29</v>
      </c>
      <c r="L67" s="156" t="str">
        <f t="shared" si="12"/>
        <v> Lewis</v>
      </c>
      <c r="M67" s="159">
        <v>1.0</v>
      </c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Doody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Schroeder</v>
      </c>
      <c r="M68" s="159">
        <v>1.0</v>
      </c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Morrison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Lewis</v>
      </c>
      <c r="M69" s="162"/>
      <c r="N69" s="160">
        <v>1.0</v>
      </c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Doody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Schroeder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Morrison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Lewis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Doody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Schroeder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Morrison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Lewis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Doody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Schroeder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Morrison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Lewis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Doody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Schroeder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Morrison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Lewis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Doody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Schroeder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Morrison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Lewis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Doody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Schroeder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Morrison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Lewis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Doody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Schroeder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Morrison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Lewis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Doody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Schroeder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Morrison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Lewis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Doody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Schroeder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Morrison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Lewis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Doody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Schroeder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Morrison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Lewis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116</v>
      </c>
      <c r="D3" s="128">
        <f t="shared" ref="D3:J3" si="1">SUMPRODUCT(D10:D90,MOD(ROW(D10:D90),2)=0)</f>
        <v>22</v>
      </c>
      <c r="E3" s="128">
        <f t="shared" si="1"/>
        <v>5</v>
      </c>
      <c r="F3" s="128">
        <f t="shared" si="1"/>
        <v>2</v>
      </c>
      <c r="G3" s="128">
        <f t="shared" si="1"/>
        <v>1</v>
      </c>
      <c r="H3" s="128">
        <f t="shared" si="1"/>
        <v>1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128</v>
      </c>
      <c r="M3" s="128">
        <f t="shared" ref="M3:S3" si="2">SUMPRODUCT(M10:M90,MOD(ROW(M10:M90),2)=0)</f>
        <v>23</v>
      </c>
      <c r="N3" s="128">
        <f t="shared" si="2"/>
        <v>4</v>
      </c>
      <c r="O3" s="128">
        <f t="shared" si="2"/>
        <v>0</v>
      </c>
      <c r="P3" s="128">
        <f t="shared" si="2"/>
        <v>2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133</v>
      </c>
      <c r="D4" s="133">
        <f t="shared" ref="D4:J4" si="3">SUMPRODUCT(D10:D90,MOD(ROW(D10:D90),2))</f>
        <v>24</v>
      </c>
      <c r="E4" s="133">
        <f t="shared" si="3"/>
        <v>2</v>
      </c>
      <c r="F4" s="133">
        <f t="shared" si="3"/>
        <v>0</v>
      </c>
      <c r="G4" s="133">
        <f t="shared" si="3"/>
        <v>1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122</v>
      </c>
      <c r="M4" s="133">
        <f t="shared" ref="M4:S4" si="4">SUMPRODUCT(M10:M90,MOD(ROW(M10:M90),2))</f>
        <v>23</v>
      </c>
      <c r="N4" s="133">
        <f t="shared" si="4"/>
        <v>5</v>
      </c>
      <c r="O4" s="133">
        <f t="shared" si="4"/>
        <v>0</v>
      </c>
      <c r="P4" s="133">
        <f t="shared" si="4"/>
        <v>1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Hamoui %</v>
      </c>
      <c r="D5" s="137">
        <f t="shared" ref="D5:D6" si="6">IFERROR((E3/(E3+D3)),0)</f>
        <v>0.1851851852</v>
      </c>
      <c r="K5" s="135"/>
      <c r="L5" s="136" t="str">
        <f t="shared" ref="L5:L6" si="7">IFERROR((L10 &amp;" %"), "")</f>
        <v> Ravulapati %</v>
      </c>
      <c r="M5" s="137">
        <f t="shared" ref="M5:M6" si="8">IFERROR((N3/(N3+M3)),0)</f>
        <v>0.1481481481</v>
      </c>
      <c r="S5" s="132"/>
      <c r="T5" s="132"/>
      <c r="U5" s="7"/>
    </row>
    <row r="6">
      <c r="A6" s="14"/>
      <c r="B6" s="138"/>
      <c r="C6" s="139" t="str">
        <f t="shared" si="5"/>
        <v> Reeves %</v>
      </c>
      <c r="D6" s="140">
        <f t="shared" si="6"/>
        <v>0.07692307692</v>
      </c>
      <c r="E6" s="141"/>
      <c r="F6" s="141"/>
      <c r="G6" s="141"/>
      <c r="H6" s="141"/>
      <c r="I6" s="141"/>
      <c r="J6" s="141"/>
      <c r="K6" s="138"/>
      <c r="L6" s="139" t="str">
        <f t="shared" si="7"/>
        <v> Schoenfeld %</v>
      </c>
      <c r="M6" s="142">
        <f t="shared" si="8"/>
        <v>0.1785714286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Hamoui")</f>
        <v> Hamoui</v>
      </c>
      <c r="D10" s="149">
        <v>1.0</v>
      </c>
      <c r="E10" s="150"/>
      <c r="F10" s="151">
        <v>1.0</v>
      </c>
      <c r="G10" s="151"/>
      <c r="H10" s="151"/>
      <c r="I10" s="151"/>
      <c r="J10" s="152"/>
      <c r="K10" s="129">
        <v>1.0</v>
      </c>
      <c r="L10" s="136" t="str">
        <f>IFERROR(__xludf.DUMMYFUNCTION("REGEXEXTRACT(L3, ""( .*)+"")")," Ravulapati")</f>
        <v> Ravulapati</v>
      </c>
      <c r="M10" s="149">
        <v>1.0</v>
      </c>
      <c r="N10" s="154"/>
      <c r="O10" s="133"/>
      <c r="P10" s="151">
        <v>1.0</v>
      </c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Reeves")</f>
        <v> Reeves</v>
      </c>
      <c r="D11" s="149">
        <v>1.0</v>
      </c>
      <c r="E11" s="154"/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Schoenfeld")</f>
        <v> Schoenfeld</v>
      </c>
      <c r="M11" s="153"/>
      <c r="N11" s="150">
        <v>1.0</v>
      </c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Hamoui</v>
      </c>
      <c r="D12" s="149">
        <v>1.0</v>
      </c>
      <c r="E12" s="150"/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Ravulapati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Reeves</v>
      </c>
      <c r="D13" s="149">
        <v>1.0</v>
      </c>
      <c r="E13" s="154"/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Schoenfeld</v>
      </c>
      <c r="M13" s="149">
        <v>1.0</v>
      </c>
      <c r="N13" s="157"/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Hamoui</v>
      </c>
      <c r="D14" s="149">
        <v>1.0</v>
      </c>
      <c r="E14" s="150"/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Ravulapati</v>
      </c>
      <c r="M14" s="149">
        <v>1.0</v>
      </c>
      <c r="N14" s="157"/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Reeves</v>
      </c>
      <c r="D15" s="149">
        <v>1.0</v>
      </c>
      <c r="E15" s="150"/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Schoenfeld</v>
      </c>
      <c r="M15" s="149">
        <v>1.0</v>
      </c>
      <c r="N15" s="157"/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Hamoui</v>
      </c>
      <c r="D16" s="153"/>
      <c r="E16" s="150">
        <v>1.0</v>
      </c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Ravulapati</v>
      </c>
      <c r="M16" s="149">
        <v>1.0</v>
      </c>
      <c r="N16" s="157"/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Reeves</v>
      </c>
      <c r="D17" s="149">
        <v>1.0</v>
      </c>
      <c r="E17" s="154"/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Schoenfeld</v>
      </c>
      <c r="M17" s="158"/>
      <c r="N17" s="150">
        <v>1.0</v>
      </c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Hamoui</v>
      </c>
      <c r="D18" s="149">
        <v>1.0</v>
      </c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Ravulapati</v>
      </c>
      <c r="M18" s="153"/>
      <c r="N18" s="150">
        <v>1.0</v>
      </c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Reeves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Schoenfeld</v>
      </c>
      <c r="M19" s="149">
        <v>1.0</v>
      </c>
      <c r="N19" s="154"/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Hamoui</v>
      </c>
      <c r="D20" s="149">
        <v>1.0</v>
      </c>
      <c r="E20" s="154"/>
      <c r="F20" s="133"/>
      <c r="G20" s="133"/>
      <c r="H20" s="151">
        <v>1.0</v>
      </c>
      <c r="I20" s="133"/>
      <c r="J20" s="152"/>
      <c r="K20" s="129">
        <f t="shared" si="11"/>
        <v>6</v>
      </c>
      <c r="L20" s="156" t="str">
        <f t="shared" si="12"/>
        <v> Ravulapati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Reeves</v>
      </c>
      <c r="D21" s="149">
        <v>1.0</v>
      </c>
      <c r="E21" s="157"/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Schoenfeld</v>
      </c>
      <c r="M21" s="149">
        <v>1.0</v>
      </c>
      <c r="N21" s="157"/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Hamoui</v>
      </c>
      <c r="D22" s="149">
        <v>1.0</v>
      </c>
      <c r="E22" s="157"/>
      <c r="F22" s="151">
        <v>1.0</v>
      </c>
      <c r="G22" s="133"/>
      <c r="H22" s="133"/>
      <c r="I22" s="133"/>
      <c r="J22" s="152"/>
      <c r="K22" s="129">
        <f t="shared" si="11"/>
        <v>7</v>
      </c>
      <c r="L22" s="156" t="str">
        <f t="shared" si="12"/>
        <v> Ravulapati</v>
      </c>
      <c r="M22" s="149">
        <v>1.0</v>
      </c>
      <c r="N22" s="157"/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Reeves</v>
      </c>
      <c r="D23" s="149">
        <v>1.0</v>
      </c>
      <c r="E23" s="157"/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Schoenfeld</v>
      </c>
      <c r="M23" s="149">
        <v>1.0</v>
      </c>
      <c r="N23" s="157"/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Hamoui</v>
      </c>
      <c r="D24" s="149">
        <v>1.0</v>
      </c>
      <c r="E24" s="157"/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Ravulapati</v>
      </c>
      <c r="M24" s="149">
        <v>1.0</v>
      </c>
      <c r="N24" s="157"/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Reeves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Schoenfeld</v>
      </c>
      <c r="M25" s="149">
        <v>1.0</v>
      </c>
      <c r="N25" s="154"/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Hamoui</v>
      </c>
      <c r="D26" s="153"/>
      <c r="E26" s="150">
        <v>1.0</v>
      </c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Ravulapati</v>
      </c>
      <c r="M26" s="149">
        <v>1.0</v>
      </c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Reeves</v>
      </c>
      <c r="D27" s="149">
        <v>1.0</v>
      </c>
      <c r="E27" s="157"/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Schoenfeld</v>
      </c>
      <c r="M27" s="149">
        <v>1.0</v>
      </c>
      <c r="N27" s="157"/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Hamoui</v>
      </c>
      <c r="D28" s="149">
        <v>1.0</v>
      </c>
      <c r="E28" s="157"/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Ravulapati</v>
      </c>
      <c r="M28" s="153"/>
      <c r="N28" s="150">
        <v>1.0</v>
      </c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Reeves</v>
      </c>
      <c r="D29" s="149">
        <v>1.0</v>
      </c>
      <c r="E29" s="157"/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Schoenfeld</v>
      </c>
      <c r="M29" s="149">
        <v>1.0</v>
      </c>
      <c r="N29" s="157"/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Hamoui</v>
      </c>
      <c r="D30" s="149">
        <v>1.0</v>
      </c>
      <c r="E30" s="157"/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Ravulapati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Reeves</v>
      </c>
      <c r="D31" s="149">
        <v>1.0</v>
      </c>
      <c r="E31" s="157"/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Schoenfeld</v>
      </c>
      <c r="M31" s="158"/>
      <c r="N31" s="150">
        <v>1.0</v>
      </c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Hamoui</v>
      </c>
      <c r="D32" s="153"/>
      <c r="E32" s="150">
        <v>1.0</v>
      </c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Ravulapati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Reeves</v>
      </c>
      <c r="D33" s="149">
        <v>1.0</v>
      </c>
      <c r="E33" s="157"/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Schoenfeld</v>
      </c>
      <c r="M33" s="149">
        <v>1.0</v>
      </c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Hamoui</v>
      </c>
      <c r="D34" s="149">
        <v>1.0</v>
      </c>
      <c r="E34" s="157"/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Ravulapati</v>
      </c>
      <c r="M34" s="153"/>
      <c r="N34" s="150">
        <v>1.0</v>
      </c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Reeves</v>
      </c>
      <c r="D35" s="149">
        <v>1.0</v>
      </c>
      <c r="E35" s="157"/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 Schoenfeld</v>
      </c>
      <c r="M35" s="149">
        <v>1.0</v>
      </c>
      <c r="N35" s="157"/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Hamoui</v>
      </c>
      <c r="D36" s="149">
        <v>1.0</v>
      </c>
      <c r="E36" s="157"/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Ravulapati</v>
      </c>
      <c r="M36" s="149">
        <v>1.0</v>
      </c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Reeves</v>
      </c>
      <c r="D37" s="149">
        <v>1.0</v>
      </c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Schoenfeld</v>
      </c>
      <c r="M37" s="149">
        <v>1.0</v>
      </c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Hamoui</v>
      </c>
      <c r="D38" s="149">
        <v>1.0</v>
      </c>
      <c r="E38" s="157"/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Ravulapati</v>
      </c>
      <c r="M38" s="149">
        <v>1.0</v>
      </c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Reeves</v>
      </c>
      <c r="D39" s="149">
        <v>1.0</v>
      </c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Schoenfeld</v>
      </c>
      <c r="M39" s="149">
        <v>1.0</v>
      </c>
      <c r="N39" s="157"/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Hamoui</v>
      </c>
      <c r="D40" s="159">
        <v>1.0</v>
      </c>
      <c r="E40" s="160"/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Ravulapati</v>
      </c>
      <c r="M40" s="149">
        <v>1.0</v>
      </c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Reeves</v>
      </c>
      <c r="D41" s="159">
        <v>1.0</v>
      </c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Schoenfeld</v>
      </c>
      <c r="M41" s="149">
        <v>1.0</v>
      </c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Hamoui</v>
      </c>
      <c r="D42" s="159">
        <v>1.0</v>
      </c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Ravulapati</v>
      </c>
      <c r="M42" s="149">
        <v>1.0</v>
      </c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Reeves</v>
      </c>
      <c r="D43" s="159">
        <v>1.0</v>
      </c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Schoenfeld</v>
      </c>
      <c r="M43" s="159">
        <v>1.0</v>
      </c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Hamoui</v>
      </c>
      <c r="D44" s="159">
        <v>1.0</v>
      </c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Ravulapati</v>
      </c>
      <c r="M44" s="159">
        <v>1.0</v>
      </c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Reeves</v>
      </c>
      <c r="D45" s="159"/>
      <c r="E45" s="160">
        <v>1.0</v>
      </c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Schoenfeld</v>
      </c>
      <c r="M45" s="159">
        <v>1.0</v>
      </c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Hamoui</v>
      </c>
      <c r="D46" s="159">
        <v>1.0</v>
      </c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Ravulapati</v>
      </c>
      <c r="M46" s="159">
        <v>1.0</v>
      </c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Reeves</v>
      </c>
      <c r="D47" s="159">
        <v>1.0</v>
      </c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Schoenfeld</v>
      </c>
      <c r="M47" s="159">
        <v>1.0</v>
      </c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Hamoui</v>
      </c>
      <c r="D48" s="159"/>
      <c r="E48" s="160">
        <v>1.0</v>
      </c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Ravulapati</v>
      </c>
      <c r="M48" s="159">
        <v>1.0</v>
      </c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Reeves</v>
      </c>
      <c r="D49" s="159">
        <v>1.0</v>
      </c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Schoenfeld</v>
      </c>
      <c r="M49" s="159">
        <v>1.0</v>
      </c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Hamoui</v>
      </c>
      <c r="D50" s="159">
        <v>1.0</v>
      </c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Ravulapati</v>
      </c>
      <c r="M50" s="159">
        <v>1.0</v>
      </c>
      <c r="N50" s="161"/>
      <c r="O50" s="152"/>
      <c r="P50" s="175">
        <v>1.0</v>
      </c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Reeves</v>
      </c>
      <c r="D51" s="159">
        <v>1.0</v>
      </c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Schoenfeld</v>
      </c>
      <c r="M51" s="159"/>
      <c r="N51" s="160">
        <v>1.0</v>
      </c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Hamoui</v>
      </c>
      <c r="D52" s="159">
        <v>1.0</v>
      </c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Ravulapati</v>
      </c>
      <c r="M52" s="159">
        <v>1.0</v>
      </c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Reeves</v>
      </c>
      <c r="D53" s="162"/>
      <c r="E53" s="160">
        <v>1.0</v>
      </c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Schoenfeld</v>
      </c>
      <c r="M53" s="159">
        <v>1.0</v>
      </c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Hamoui</v>
      </c>
      <c r="D54" s="159">
        <v>1.0</v>
      </c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Ravulapati</v>
      </c>
      <c r="M54" s="162"/>
      <c r="N54" s="160">
        <v>1.0</v>
      </c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Reeves</v>
      </c>
      <c r="D55" s="159">
        <v>1.0</v>
      </c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Schoenfeld</v>
      </c>
      <c r="M55" s="159">
        <v>1.0</v>
      </c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Hamoui</v>
      </c>
      <c r="D56" s="159">
        <v>1.0</v>
      </c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Ravulapati</v>
      </c>
      <c r="M56" s="159">
        <v>1.0</v>
      </c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Reeves</v>
      </c>
      <c r="D57" s="159">
        <v>1.0</v>
      </c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Schoenfeld</v>
      </c>
      <c r="M57" s="159">
        <v>1.0</v>
      </c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Hamoui</v>
      </c>
      <c r="D58" s="159">
        <v>1.0</v>
      </c>
      <c r="E58" s="161"/>
      <c r="F58" s="152"/>
      <c r="G58" s="175">
        <v>1.0</v>
      </c>
      <c r="H58" s="152"/>
      <c r="I58" s="152"/>
      <c r="J58" s="152"/>
      <c r="K58" s="135">
        <f t="shared" si="11"/>
        <v>25</v>
      </c>
      <c r="L58" s="156" t="str">
        <f t="shared" si="12"/>
        <v> Ravulapati</v>
      </c>
      <c r="M58" s="159">
        <v>1.0</v>
      </c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Reeves</v>
      </c>
      <c r="D59" s="159">
        <v>1.0</v>
      </c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Schoenfeld</v>
      </c>
      <c r="M59" s="159">
        <v>1.0</v>
      </c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Hamoui</v>
      </c>
      <c r="D60" s="159">
        <v>1.0</v>
      </c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Ravulapati</v>
      </c>
      <c r="M60" s="159">
        <v>1.0</v>
      </c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Reeves</v>
      </c>
      <c r="D61" s="159">
        <v>1.0</v>
      </c>
      <c r="E61" s="161"/>
      <c r="F61" s="175"/>
      <c r="G61" s="175">
        <v>1.0</v>
      </c>
      <c r="H61" s="152"/>
      <c r="I61" s="152"/>
      <c r="J61" s="152"/>
      <c r="K61" s="129">
        <f t="shared" si="11"/>
        <v>26</v>
      </c>
      <c r="L61" s="156" t="str">
        <f t="shared" si="12"/>
        <v> Schoenfeld</v>
      </c>
      <c r="M61" s="159">
        <v>1.0</v>
      </c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Hamoui</v>
      </c>
      <c r="D62" s="162"/>
      <c r="E62" s="160">
        <v>1.0</v>
      </c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Ravulapati</v>
      </c>
      <c r="M62" s="159">
        <v>1.0</v>
      </c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Reeves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Schoenfeld</v>
      </c>
      <c r="M63" s="162"/>
      <c r="N63" s="160">
        <v>1.0</v>
      </c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Hamoui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Ravulapati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Reeves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Schoenfeld</v>
      </c>
      <c r="M65" s="159">
        <v>1.0</v>
      </c>
      <c r="N65" s="161"/>
      <c r="O65" s="152"/>
      <c r="P65" s="175">
        <v>1.0</v>
      </c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Hamoui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Ravulapati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Reeves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Schoenfeld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Hamoui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Ravulapati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Reeves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Schoenfeld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Hamoui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Ravulapati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Reeves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Schoenfeld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Hamoui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Ravulapati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Reeves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Schoenfeld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Hamoui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Ravulapati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Reeves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Schoenfeld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Hamoui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Ravulapati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Reeves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Schoenfeld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Hamoui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Ravulapati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Reeves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Schoenfeld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Hamoui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Ravulapati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Reeves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Schoenfeld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Hamoui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Ravulapati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Reeves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Schoenfeld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Hamoui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Ravulapati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Reeves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Schoenfeld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Hamoui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Ravulapati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Reeves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Schoenfeld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Hamoui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Ravulapati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Reeves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Schoenfeld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96</v>
      </c>
      <c r="D3" s="128">
        <f t="shared" ref="D3:J3" si="1">SUMPRODUCT(D10:D90,MOD(ROW(D10:D90),2)=0)</f>
        <v>11</v>
      </c>
      <c r="E3" s="128">
        <f t="shared" si="1"/>
        <v>6</v>
      </c>
      <c r="F3" s="128">
        <f t="shared" si="1"/>
        <v>1</v>
      </c>
      <c r="G3" s="128">
        <f t="shared" si="1"/>
        <v>0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84</v>
      </c>
      <c r="M3" s="128">
        <f t="shared" ref="M3:S3" si="2">SUMPRODUCT(M10:M90,MOD(ROW(M10:M90),2)=0)</f>
        <v>14</v>
      </c>
      <c r="N3" s="128">
        <f t="shared" si="2"/>
        <v>3</v>
      </c>
      <c r="O3" s="128">
        <f t="shared" si="2"/>
        <v>1</v>
      </c>
      <c r="P3" s="128">
        <f t="shared" si="2"/>
        <v>3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89</v>
      </c>
      <c r="D4" s="133">
        <f t="shared" ref="D4:J4" si="3">SUMPRODUCT(D10:D90,MOD(ROW(D10:D90),2))</f>
        <v>12</v>
      </c>
      <c r="E4" s="133">
        <f t="shared" si="3"/>
        <v>4</v>
      </c>
      <c r="F4" s="133">
        <f t="shared" si="3"/>
        <v>2</v>
      </c>
      <c r="G4" s="133">
        <f t="shared" si="3"/>
        <v>1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121</v>
      </c>
      <c r="M4" s="133">
        <f t="shared" ref="M4:S4" si="4">SUMPRODUCT(M10:M90,MOD(ROW(M10:M90),2))</f>
        <v>12</v>
      </c>
      <c r="N4" s="133">
        <f t="shared" si="4"/>
        <v>5</v>
      </c>
      <c r="O4" s="133">
        <f t="shared" si="4"/>
        <v>2</v>
      </c>
      <c r="P4" s="133">
        <f t="shared" si="4"/>
        <v>0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Wigmore %</v>
      </c>
      <c r="D5" s="137">
        <f t="shared" ref="D5:D6" si="6">IFERROR((E3/(E3+D3)),0)</f>
        <v>0.3529411765</v>
      </c>
      <c r="K5" s="135"/>
      <c r="L5" s="136" t="str">
        <f t="shared" ref="L5:L6" si="7">IFERROR((L10 &amp;" %"), "")</f>
        <v> Kulkarni %</v>
      </c>
      <c r="M5" s="137">
        <f t="shared" ref="M5:M6" si="8">IFERROR((N3/(N3+M3)),0)</f>
        <v>0.1764705882</v>
      </c>
      <c r="S5" s="132"/>
      <c r="T5" s="132"/>
      <c r="U5" s="7"/>
    </row>
    <row r="6">
      <c r="A6" s="14"/>
      <c r="B6" s="138"/>
      <c r="C6" s="139" t="str">
        <f t="shared" si="5"/>
        <v> Boggs %</v>
      </c>
      <c r="D6" s="140">
        <f t="shared" si="6"/>
        <v>0.25</v>
      </c>
      <c r="E6" s="141"/>
      <c r="F6" s="141"/>
      <c r="G6" s="141"/>
      <c r="H6" s="141"/>
      <c r="I6" s="141"/>
      <c r="J6" s="141"/>
      <c r="K6" s="138"/>
      <c r="L6" s="139" t="str">
        <f t="shared" si="7"/>
        <v> Byrne %</v>
      </c>
      <c r="M6" s="142">
        <f t="shared" si="8"/>
        <v>0.2941176471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Wigmore")</f>
        <v> Wigmore</v>
      </c>
      <c r="D10" s="149">
        <v>1.0</v>
      </c>
      <c r="E10" s="150"/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Kulkarni")</f>
        <v> Kulkarni</v>
      </c>
      <c r="M10" s="149">
        <v>1.0</v>
      </c>
      <c r="N10" s="154"/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Boggs")</f>
        <v> Boggs</v>
      </c>
      <c r="D11" s="149"/>
      <c r="E11" s="150">
        <v>1.0</v>
      </c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Byrne")</f>
        <v> Byrne</v>
      </c>
      <c r="M11" s="149">
        <v>1.0</v>
      </c>
      <c r="N11" s="154"/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Wigmore</v>
      </c>
      <c r="D12" s="149">
        <v>1.0</v>
      </c>
      <c r="E12" s="150"/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Kulkarni</v>
      </c>
      <c r="M12" s="153"/>
      <c r="N12" s="150">
        <v>1.0</v>
      </c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Boggs</v>
      </c>
      <c r="D13" s="149"/>
      <c r="E13" s="150">
        <v>1.0</v>
      </c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Byrne</v>
      </c>
      <c r="M13" s="149">
        <v>1.0</v>
      </c>
      <c r="N13" s="157"/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Wigmore</v>
      </c>
      <c r="D14" s="153"/>
      <c r="E14" s="150">
        <v>1.0</v>
      </c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Kulkarni</v>
      </c>
      <c r="M14" s="149">
        <v>1.0</v>
      </c>
      <c r="N14" s="157"/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Boggs</v>
      </c>
      <c r="D15" s="149">
        <v>1.0</v>
      </c>
      <c r="E15" s="150"/>
      <c r="F15" s="151">
        <v>1.0</v>
      </c>
      <c r="G15" s="133"/>
      <c r="H15" s="133"/>
      <c r="I15" s="133"/>
      <c r="J15" s="152"/>
      <c r="K15" s="135">
        <f t="shared" si="11"/>
        <v>3</v>
      </c>
      <c r="L15" s="156" t="str">
        <f t="shared" si="12"/>
        <v> Byrne</v>
      </c>
      <c r="M15" s="149">
        <v>1.0</v>
      </c>
      <c r="N15" s="157"/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Wigmore</v>
      </c>
      <c r="D16" s="149">
        <v>1.0</v>
      </c>
      <c r="E16" s="157"/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Kulkarni</v>
      </c>
      <c r="M16" s="153"/>
      <c r="N16" s="150">
        <v>1.0</v>
      </c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Boggs</v>
      </c>
      <c r="D17" s="153"/>
      <c r="E17" s="150">
        <v>1.0</v>
      </c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Byrne</v>
      </c>
      <c r="M17" s="149">
        <v>1.0</v>
      </c>
      <c r="N17" s="154"/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Wigmore</v>
      </c>
      <c r="D18" s="149">
        <v>1.0</v>
      </c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Kulkarni</v>
      </c>
      <c r="M18" s="149">
        <v>1.0</v>
      </c>
      <c r="N18" s="157"/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Boggs</v>
      </c>
      <c r="D19" s="153"/>
      <c r="E19" s="150">
        <v>1.0</v>
      </c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Byrne</v>
      </c>
      <c r="M19" s="149">
        <v>1.0</v>
      </c>
      <c r="N19" s="154"/>
      <c r="O19" s="151">
        <v>1.0</v>
      </c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Wigmore</v>
      </c>
      <c r="D20" s="158"/>
      <c r="E20" s="150">
        <v>1.0</v>
      </c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Kulkarni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Boggs</v>
      </c>
      <c r="D21" s="149">
        <v>1.0</v>
      </c>
      <c r="E21" s="157"/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Byrne</v>
      </c>
      <c r="M21" s="153"/>
      <c r="N21" s="150">
        <v>1.0</v>
      </c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Wigmore</v>
      </c>
      <c r="D22" s="149">
        <v>1.0</v>
      </c>
      <c r="E22" s="157"/>
      <c r="F22" s="151">
        <v>1.0</v>
      </c>
      <c r="G22" s="133"/>
      <c r="H22" s="133"/>
      <c r="I22" s="133"/>
      <c r="J22" s="152"/>
      <c r="K22" s="129">
        <f t="shared" si="11"/>
        <v>7</v>
      </c>
      <c r="L22" s="156" t="str">
        <f t="shared" si="12"/>
        <v> Kulkarni</v>
      </c>
      <c r="M22" s="149">
        <v>1.0</v>
      </c>
      <c r="N22" s="157"/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Boggs</v>
      </c>
      <c r="D23" s="149">
        <v>1.0</v>
      </c>
      <c r="E23" s="157"/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Byrne</v>
      </c>
      <c r="M23" s="153"/>
      <c r="N23" s="150">
        <v>1.0</v>
      </c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Wigmore</v>
      </c>
      <c r="D24" s="153"/>
      <c r="E24" s="150">
        <v>1.0</v>
      </c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Kulkarni</v>
      </c>
      <c r="M24" s="149">
        <v>1.0</v>
      </c>
      <c r="N24" s="157"/>
      <c r="O24" s="151">
        <v>1.0</v>
      </c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Boggs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Byrne</v>
      </c>
      <c r="M25" s="149">
        <v>1.0</v>
      </c>
      <c r="N25" s="154"/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Wigmore</v>
      </c>
      <c r="D26" s="149">
        <v>1.0</v>
      </c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Kulkarni</v>
      </c>
      <c r="M26" s="149">
        <v>1.0</v>
      </c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Boggs</v>
      </c>
      <c r="D27" s="149">
        <v>1.0</v>
      </c>
      <c r="E27" s="157"/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Byrne</v>
      </c>
      <c r="M27" s="149">
        <v>1.0</v>
      </c>
      <c r="N27" s="157"/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Wigmore</v>
      </c>
      <c r="D28" s="149">
        <v>1.0</v>
      </c>
      <c r="E28" s="157"/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Kulkarni</v>
      </c>
      <c r="M28" s="149">
        <v>1.0</v>
      </c>
      <c r="N28" s="157"/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Boggs</v>
      </c>
      <c r="D29" s="149">
        <v>1.0</v>
      </c>
      <c r="E29" s="157"/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Byrne</v>
      </c>
      <c r="M29" s="149">
        <v>1.0</v>
      </c>
      <c r="N29" s="157"/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Wigmore</v>
      </c>
      <c r="D30" s="153"/>
      <c r="E30" s="150">
        <v>1.0</v>
      </c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Kulkarni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Boggs</v>
      </c>
      <c r="D31" s="149">
        <v>1.0</v>
      </c>
      <c r="E31" s="157"/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Byrne</v>
      </c>
      <c r="M31" s="149">
        <v>1.0</v>
      </c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Wigmore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Kulkarni</v>
      </c>
      <c r="M32" s="149">
        <v>1.0</v>
      </c>
      <c r="N32" s="157"/>
      <c r="O32" s="133"/>
      <c r="P32" s="151">
        <v>1.0</v>
      </c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Boggs</v>
      </c>
      <c r="D33" s="149">
        <v>1.0</v>
      </c>
      <c r="E33" s="157"/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Byrne</v>
      </c>
      <c r="M33" s="158"/>
      <c r="N33" s="150">
        <v>1.0</v>
      </c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Wigmore</v>
      </c>
      <c r="D34" s="149">
        <v>1.0</v>
      </c>
      <c r="E34" s="157"/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Kulkarni</v>
      </c>
      <c r="M34" s="153"/>
      <c r="N34" s="150">
        <v>1.0</v>
      </c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Boggs</v>
      </c>
      <c r="D35" s="149">
        <v>1.0</v>
      </c>
      <c r="E35" s="157"/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 Byrne</v>
      </c>
      <c r="M35" s="149">
        <v>1.0</v>
      </c>
      <c r="N35" s="157"/>
      <c r="O35" s="151">
        <v>1.0</v>
      </c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Wigmore</v>
      </c>
      <c r="D36" s="149">
        <v>1.0</v>
      </c>
      <c r="E36" s="157"/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Kulkarni</v>
      </c>
      <c r="M36" s="149">
        <v>1.0</v>
      </c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Boggs</v>
      </c>
      <c r="D37" s="149">
        <v>1.0</v>
      </c>
      <c r="E37" s="157"/>
      <c r="F37" s="151">
        <v>1.0</v>
      </c>
      <c r="G37" s="133"/>
      <c r="H37" s="133"/>
      <c r="I37" s="133"/>
      <c r="J37" s="152"/>
      <c r="K37" s="135">
        <f t="shared" si="11"/>
        <v>14</v>
      </c>
      <c r="L37" s="156" t="str">
        <f t="shared" si="12"/>
        <v> Byrne</v>
      </c>
      <c r="M37" s="149">
        <v>1.0</v>
      </c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Wigmore</v>
      </c>
      <c r="D38" s="153"/>
      <c r="E38" s="150">
        <v>1.0</v>
      </c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Kulkarni</v>
      </c>
      <c r="M38" s="149">
        <v>1.0</v>
      </c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Boggs</v>
      </c>
      <c r="D39" s="149">
        <v>1.0</v>
      </c>
      <c r="E39" s="157"/>
      <c r="F39" s="133"/>
      <c r="G39" s="151">
        <v>1.0</v>
      </c>
      <c r="H39" s="133"/>
      <c r="I39" s="133"/>
      <c r="J39" s="152"/>
      <c r="K39" s="135">
        <f t="shared" si="11"/>
        <v>15</v>
      </c>
      <c r="L39" s="156" t="str">
        <f t="shared" si="12"/>
        <v> Byrne</v>
      </c>
      <c r="M39" s="153"/>
      <c r="N39" s="150">
        <v>1.0</v>
      </c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Wigmore</v>
      </c>
      <c r="D40" s="159">
        <v>1.0</v>
      </c>
      <c r="E40" s="160"/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Kulkarni</v>
      </c>
      <c r="M40" s="149">
        <v>1.0</v>
      </c>
      <c r="N40" s="157"/>
      <c r="O40" s="133"/>
      <c r="P40" s="151">
        <v>1.0</v>
      </c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Boggs</v>
      </c>
      <c r="D41" s="159">
        <v>1.0</v>
      </c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Byrne</v>
      </c>
      <c r="M41" s="158"/>
      <c r="N41" s="150">
        <v>1.0</v>
      </c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Wigmore</v>
      </c>
      <c r="D42" s="159"/>
      <c r="E42" s="160">
        <v>1.0</v>
      </c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Kulkarni</v>
      </c>
      <c r="M42" s="149">
        <v>1.0</v>
      </c>
      <c r="N42" s="157"/>
      <c r="O42" s="133"/>
      <c r="P42" s="151">
        <v>1.0</v>
      </c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Boggs</v>
      </c>
      <c r="D43" s="162"/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Byrne</v>
      </c>
      <c r="M43" s="159">
        <v>1.0</v>
      </c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Wigmore</v>
      </c>
      <c r="D44" s="159"/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Kulkarni</v>
      </c>
      <c r="M44" s="159"/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Boggs</v>
      </c>
      <c r="D45" s="159"/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Byrne</v>
      </c>
      <c r="M45" s="159"/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Wigmore</v>
      </c>
      <c r="D46" s="159"/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Kulkarni</v>
      </c>
      <c r="M46" s="159"/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Boggs</v>
      </c>
      <c r="D47" s="159"/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Byrne</v>
      </c>
      <c r="M47" s="159"/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Wigmore</v>
      </c>
      <c r="D48" s="159"/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Kulkarni</v>
      </c>
      <c r="M48" s="162"/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Boggs</v>
      </c>
      <c r="D49" s="162"/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Byrne</v>
      </c>
      <c r="M49" s="159"/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Wigmore</v>
      </c>
      <c r="D50" s="159"/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Kulkarni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Boggs</v>
      </c>
      <c r="D51" s="159"/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Byrne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Wigmore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Kulkarni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Boggs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Byrne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Wigmore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Kulkarni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Boggs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Byrne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Wigmore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Kulkarni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Boggs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Byrne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Wigmore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Kulkarni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Boggs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Byrne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Wigmore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Kulkarni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Boggs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Byrne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Wigmore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Kulkarni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Boggs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Byrne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Wigmore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Kulkarni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Boggs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Byrne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Wigmore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Kulkarni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Boggs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Byrne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Wigmore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Kulkarni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Boggs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Byrne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Wigmore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Kulkarni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Boggs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Byrne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Wigmore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Kulkarni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Boggs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Byrne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Wigmore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Kulkarni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Boggs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Byrne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Wigmore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Kulkarni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Boggs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Byrne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Wigmore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Kulkarni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Boggs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Byrne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Wigmore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Kulkarni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Boggs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Byrne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Wigmore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Kulkarni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Boggs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Byrne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Wigmore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Kulkarni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Boggs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Byrne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Wigmore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Kulkarni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Boggs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Byrne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Wigmore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Kulkarni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Boggs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Byrne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110</v>
      </c>
      <c r="D3" s="128">
        <f t="shared" ref="D3:J3" si="1">SUMPRODUCT(D10:D90,MOD(ROW(D10:D90),2)=0)</f>
        <v>13</v>
      </c>
      <c r="E3" s="128">
        <f t="shared" si="1"/>
        <v>3</v>
      </c>
      <c r="F3" s="128">
        <f t="shared" si="1"/>
        <v>0</v>
      </c>
      <c r="G3" s="128">
        <f t="shared" si="1"/>
        <v>0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81</v>
      </c>
      <c r="M3" s="128">
        <f t="shared" ref="M3:S3" si="2">SUMPRODUCT(M10:M90,MOD(ROW(M10:M90),2)=0)</f>
        <v>12</v>
      </c>
      <c r="N3" s="128">
        <f t="shared" si="2"/>
        <v>4</v>
      </c>
      <c r="O3" s="128">
        <f t="shared" si="2"/>
        <v>0</v>
      </c>
      <c r="P3" s="128">
        <f t="shared" si="2"/>
        <v>1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83</v>
      </c>
      <c r="D4" s="133">
        <f t="shared" ref="D4:J4" si="3">SUMPRODUCT(D10:D90,MOD(ROW(D10:D90),2))</f>
        <v>12</v>
      </c>
      <c r="E4" s="133">
        <f t="shared" si="3"/>
        <v>5</v>
      </c>
      <c r="F4" s="133">
        <f t="shared" si="3"/>
        <v>0</v>
      </c>
      <c r="G4" s="133">
        <f t="shared" si="3"/>
        <v>1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99</v>
      </c>
      <c r="M4" s="133">
        <f t="shared" ref="M4:S4" si="4">SUMPRODUCT(M10:M90,MOD(ROW(M10:M90),2))</f>
        <v>9</v>
      </c>
      <c r="N4" s="133">
        <f t="shared" si="4"/>
        <v>6</v>
      </c>
      <c r="O4" s="133">
        <f t="shared" si="4"/>
        <v>2</v>
      </c>
      <c r="P4" s="133">
        <f t="shared" si="4"/>
        <v>0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Drolet %</v>
      </c>
      <c r="D5" s="137">
        <f t="shared" ref="D5:D6" si="6">IFERROR((E3/(E3+D3)),0)</f>
        <v>0.1875</v>
      </c>
      <c r="K5" s="135"/>
      <c r="L5" s="136" t="str">
        <f t="shared" ref="L5:L6" si="7">IFERROR((L10 &amp;" %"), "")</f>
        <v> Creamer %</v>
      </c>
      <c r="M5" s="137">
        <f t="shared" ref="M5:M6" si="8">IFERROR((N3/(N3+M3)),0)</f>
        <v>0.25</v>
      </c>
      <c r="S5" s="132"/>
      <c r="T5" s="132"/>
      <c r="U5" s="7"/>
    </row>
    <row r="6">
      <c r="A6" s="14"/>
      <c r="B6" s="138"/>
      <c r="C6" s="139" t="str">
        <f t="shared" si="5"/>
        <v> Benton %</v>
      </c>
      <c r="D6" s="140">
        <f t="shared" si="6"/>
        <v>0.2941176471</v>
      </c>
      <c r="E6" s="141"/>
      <c r="F6" s="141"/>
      <c r="G6" s="141"/>
      <c r="H6" s="141"/>
      <c r="I6" s="141"/>
      <c r="J6" s="141"/>
      <c r="K6" s="138"/>
      <c r="L6" s="139" t="str">
        <f t="shared" si="7"/>
        <v> Stolz %</v>
      </c>
      <c r="M6" s="142">
        <f t="shared" si="8"/>
        <v>0.4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Drolet")</f>
        <v> Drolet</v>
      </c>
      <c r="D10" s="149">
        <v>1.0</v>
      </c>
      <c r="E10" s="150"/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Creamer")</f>
        <v> Creamer</v>
      </c>
      <c r="M10" s="149">
        <v>1.0</v>
      </c>
      <c r="N10" s="154"/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Benton")</f>
        <v> Benton</v>
      </c>
      <c r="D11" s="149"/>
      <c r="E11" s="150">
        <v>1.0</v>
      </c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Stolz")</f>
        <v> Stolz</v>
      </c>
      <c r="M11" s="149">
        <v>1.0</v>
      </c>
      <c r="N11" s="154"/>
      <c r="O11" s="151">
        <v>1.0</v>
      </c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Drolet</v>
      </c>
      <c r="D12" s="149">
        <v>1.0</v>
      </c>
      <c r="E12" s="150"/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Creamer</v>
      </c>
      <c r="M12" s="153"/>
      <c r="N12" s="150">
        <v>1.0</v>
      </c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Benton</v>
      </c>
      <c r="D13" s="149">
        <v>1.0</v>
      </c>
      <c r="E13" s="154"/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Stolz</v>
      </c>
      <c r="M13" s="149">
        <v>1.0</v>
      </c>
      <c r="N13" s="157"/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Drolet</v>
      </c>
      <c r="D14" s="149">
        <v>1.0</v>
      </c>
      <c r="E14" s="150"/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Creamer</v>
      </c>
      <c r="M14" s="149">
        <v>1.0</v>
      </c>
      <c r="N14" s="157"/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Benton</v>
      </c>
      <c r="D15" s="153"/>
      <c r="E15" s="150">
        <v>1.0</v>
      </c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Stolz</v>
      </c>
      <c r="M15" s="153"/>
      <c r="N15" s="150">
        <v>1.0</v>
      </c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Drolet</v>
      </c>
      <c r="D16" s="149">
        <v>1.0</v>
      </c>
      <c r="E16" s="157"/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Creamer</v>
      </c>
      <c r="M16" s="153"/>
      <c r="N16" s="150">
        <v>1.0</v>
      </c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Benton</v>
      </c>
      <c r="D17" s="149">
        <v>1.0</v>
      </c>
      <c r="E17" s="154"/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Stolz</v>
      </c>
      <c r="M17" s="158"/>
      <c r="N17" s="150">
        <v>1.0</v>
      </c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Drolet</v>
      </c>
      <c r="D18" s="149">
        <v>1.0</v>
      </c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Creamer</v>
      </c>
      <c r="M18" s="149">
        <v>1.0</v>
      </c>
      <c r="N18" s="157"/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Benton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Stolz</v>
      </c>
      <c r="M19" s="149">
        <v>1.0</v>
      </c>
      <c r="N19" s="154"/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Drolet</v>
      </c>
      <c r="D20" s="158"/>
      <c r="E20" s="150">
        <v>1.0</v>
      </c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Creamer</v>
      </c>
      <c r="M20" s="149">
        <v>1.0</v>
      </c>
      <c r="N20" s="157"/>
      <c r="O20" s="133"/>
      <c r="P20" s="151">
        <v>1.0</v>
      </c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Benton</v>
      </c>
      <c r="D21" s="149">
        <v>1.0</v>
      </c>
      <c r="E21" s="157"/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Stolz</v>
      </c>
      <c r="M21" s="149">
        <v>1.0</v>
      </c>
      <c r="N21" s="157"/>
      <c r="O21" s="151">
        <v>1.0</v>
      </c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Drolet</v>
      </c>
      <c r="D22" s="149">
        <v>1.0</v>
      </c>
      <c r="E22" s="157"/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 Creamer</v>
      </c>
      <c r="M22" s="153"/>
      <c r="N22" s="150">
        <v>1.0</v>
      </c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Benton</v>
      </c>
      <c r="D23" s="153"/>
      <c r="E23" s="150">
        <v>1.0</v>
      </c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Stolz</v>
      </c>
      <c r="M23" s="149">
        <v>1.0</v>
      </c>
      <c r="N23" s="157"/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Drolet</v>
      </c>
      <c r="D24" s="149">
        <v>1.0</v>
      </c>
      <c r="E24" s="157"/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Creamer</v>
      </c>
      <c r="M24" s="149">
        <v>1.0</v>
      </c>
      <c r="N24" s="157"/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Benton</v>
      </c>
      <c r="D25" s="149">
        <v>1.0</v>
      </c>
      <c r="E25" s="157"/>
      <c r="F25" s="133"/>
      <c r="G25" s="151">
        <v>1.0</v>
      </c>
      <c r="H25" s="133"/>
      <c r="I25" s="133"/>
      <c r="J25" s="152"/>
      <c r="K25" s="135">
        <f t="shared" si="11"/>
        <v>8</v>
      </c>
      <c r="L25" s="156" t="str">
        <f t="shared" si="12"/>
        <v> Stolz</v>
      </c>
      <c r="M25" s="149">
        <v>1.0</v>
      </c>
      <c r="N25" s="154"/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Drolet</v>
      </c>
      <c r="D26" s="153"/>
      <c r="E26" s="150">
        <v>1.0</v>
      </c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Creamer</v>
      </c>
      <c r="M26" s="149">
        <v>1.0</v>
      </c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Benton</v>
      </c>
      <c r="D27" s="149">
        <v>1.0</v>
      </c>
      <c r="E27" s="157"/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Stolz</v>
      </c>
      <c r="M27" s="153"/>
      <c r="N27" s="150">
        <v>1.0</v>
      </c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Drolet</v>
      </c>
      <c r="D28" s="153"/>
      <c r="E28" s="150">
        <v>1.0</v>
      </c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Creamer</v>
      </c>
      <c r="M28" s="149">
        <v>1.0</v>
      </c>
      <c r="N28" s="157"/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Benton</v>
      </c>
      <c r="D29" s="149">
        <v>1.0</v>
      </c>
      <c r="E29" s="157"/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Stolz</v>
      </c>
      <c r="M29" s="153"/>
      <c r="N29" s="150">
        <v>1.0</v>
      </c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Drolet</v>
      </c>
      <c r="D30" s="149">
        <v>1.0</v>
      </c>
      <c r="E30" s="157"/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Creamer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Benton</v>
      </c>
      <c r="D31" s="149">
        <v>1.0</v>
      </c>
      <c r="E31" s="157"/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Stolz</v>
      </c>
      <c r="M31" s="158"/>
      <c r="N31" s="150">
        <v>1.0</v>
      </c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Drolet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Creamer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Benton</v>
      </c>
      <c r="D33" s="149">
        <v>1.0</v>
      </c>
      <c r="E33" s="157"/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Stolz</v>
      </c>
      <c r="M33" s="149">
        <v>1.0</v>
      </c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Drolet</v>
      </c>
      <c r="D34" s="149">
        <v>1.0</v>
      </c>
      <c r="E34" s="157"/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Creamer</v>
      </c>
      <c r="M34" s="149">
        <v>1.0</v>
      </c>
      <c r="N34" s="157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Benton</v>
      </c>
      <c r="D35" s="149">
        <v>1.0</v>
      </c>
      <c r="E35" s="157"/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 Stolz</v>
      </c>
      <c r="M35" s="149">
        <v>1.0</v>
      </c>
      <c r="N35" s="157"/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Drolet</v>
      </c>
      <c r="D36" s="149">
        <v>1.0</v>
      </c>
      <c r="E36" s="157"/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Creamer</v>
      </c>
      <c r="M36" s="149">
        <v>1.0</v>
      </c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Benton</v>
      </c>
      <c r="D37" s="153"/>
      <c r="E37" s="150">
        <v>1.0</v>
      </c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Stolz</v>
      </c>
      <c r="M37" s="149">
        <v>1.0</v>
      </c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Drolet</v>
      </c>
      <c r="D38" s="149">
        <v>1.0</v>
      </c>
      <c r="E38" s="157"/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Creamer</v>
      </c>
      <c r="M38" s="149">
        <v>1.0</v>
      </c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Benton</v>
      </c>
      <c r="D39" s="149">
        <v>1.0</v>
      </c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Stolz</v>
      </c>
      <c r="M39" s="153"/>
      <c r="N39" s="150">
        <v>1.0</v>
      </c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Drolet</v>
      </c>
      <c r="D40" s="159">
        <v>1.0</v>
      </c>
      <c r="E40" s="160"/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Creamer</v>
      </c>
      <c r="M40" s="153"/>
      <c r="N40" s="150">
        <v>1.0</v>
      </c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Benton</v>
      </c>
      <c r="D41" s="159"/>
      <c r="E41" s="160">
        <v>1.0</v>
      </c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Stolz</v>
      </c>
      <c r="M41" s="158"/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Drolet</v>
      </c>
      <c r="D42" s="159"/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Creamer</v>
      </c>
      <c r="M42" s="153"/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Benton</v>
      </c>
      <c r="D43" s="159">
        <v>1.0</v>
      </c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Stolz</v>
      </c>
      <c r="M43" s="159"/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Drolet</v>
      </c>
      <c r="D44" s="159"/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Creamer</v>
      </c>
      <c r="M44" s="159"/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Benton</v>
      </c>
      <c r="D45" s="159"/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Stolz</v>
      </c>
      <c r="M45" s="159"/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Drolet</v>
      </c>
      <c r="D46" s="159"/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Creamer</v>
      </c>
      <c r="M46" s="159"/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Benton</v>
      </c>
      <c r="D47" s="159"/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Stolz</v>
      </c>
      <c r="M47" s="159"/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Drolet</v>
      </c>
      <c r="D48" s="159"/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Creamer</v>
      </c>
      <c r="M48" s="162"/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Benton</v>
      </c>
      <c r="D49" s="162"/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Stolz</v>
      </c>
      <c r="M49" s="159"/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Drolet</v>
      </c>
      <c r="D50" s="159"/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Creamer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Benton</v>
      </c>
      <c r="D51" s="159"/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Stolz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Drolet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Creamer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Benton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Stolz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Drolet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Creamer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Benton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Stolz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Drolet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Creamer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Benton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Stolz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Drolet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Creamer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Benton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Stolz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Drolet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Creamer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Benton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Stolz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Drolet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Creamer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Benton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Stolz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Drolet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Creamer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Benton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Stolz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Drolet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Creamer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Benton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Stolz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Drolet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Creamer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Benton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Stolz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Drolet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Creamer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Benton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Stolz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Drolet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Creamer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Benton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Stolz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Drolet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Creamer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Benton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Stolz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Drolet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Creamer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Benton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Stolz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Drolet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Creamer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Benton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Stolz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Drolet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Creamer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Benton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Stolz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Drolet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Creamer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Benton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Stolz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Drolet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Creamer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Benton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Stolz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Drolet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Creamer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Benton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Stolz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Drolet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Creamer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Benton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Stolz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95</v>
      </c>
      <c r="D3" s="128">
        <f t="shared" ref="D3:J3" si="1">SUMPRODUCT(D10:D90,MOD(ROW(D10:D90),2)=0)</f>
        <v>15</v>
      </c>
      <c r="E3" s="128">
        <f t="shared" si="1"/>
        <v>3</v>
      </c>
      <c r="F3" s="128">
        <f t="shared" si="1"/>
        <v>0</v>
      </c>
      <c r="G3" s="128">
        <f t="shared" si="1"/>
        <v>0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112</v>
      </c>
      <c r="M3" s="128">
        <f t="shared" ref="M3:S3" si="2">SUMPRODUCT(M10:M90,MOD(ROW(M10:M90),2)=0)</f>
        <v>13</v>
      </c>
      <c r="N3" s="128">
        <f t="shared" si="2"/>
        <v>5</v>
      </c>
      <c r="O3" s="128">
        <f t="shared" si="2"/>
        <v>0</v>
      </c>
      <c r="P3" s="128">
        <f t="shared" si="2"/>
        <v>1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74</v>
      </c>
      <c r="D4" s="133">
        <f t="shared" ref="D4:J4" si="3">SUMPRODUCT(D10:D90,MOD(ROW(D10:D90),2))</f>
        <v>13</v>
      </c>
      <c r="E4" s="133">
        <f t="shared" si="3"/>
        <v>5</v>
      </c>
      <c r="F4" s="133">
        <f t="shared" si="3"/>
        <v>1</v>
      </c>
      <c r="G4" s="133">
        <f t="shared" si="3"/>
        <v>0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94</v>
      </c>
      <c r="M4" s="133">
        <f t="shared" ref="M4:S4" si="4">SUMPRODUCT(M10:M90,MOD(ROW(M10:M90),2))</f>
        <v>13</v>
      </c>
      <c r="N4" s="133">
        <f t="shared" si="4"/>
        <v>5</v>
      </c>
      <c r="O4" s="133">
        <f t="shared" si="4"/>
        <v>1</v>
      </c>
      <c r="P4" s="133">
        <f t="shared" si="4"/>
        <v>0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Sarchio %</v>
      </c>
      <c r="D5" s="137">
        <f t="shared" ref="D5:D6" si="6">IFERROR((E3/(E3+D3)),0)</f>
        <v>0.1666666667</v>
      </c>
      <c r="K5" s="135"/>
      <c r="L5" s="136" t="str">
        <f t="shared" ref="L5:L6" si="7">IFERROR((L10 &amp;" %"), "")</f>
        <v> Tate %</v>
      </c>
      <c r="M5" s="137">
        <f t="shared" ref="M5:M6" si="8">IFERROR((N3/(N3+M3)),0)</f>
        <v>0.2777777778</v>
      </c>
      <c r="S5" s="132"/>
      <c r="T5" s="132"/>
      <c r="U5" s="7"/>
    </row>
    <row r="6">
      <c r="A6" s="14"/>
      <c r="B6" s="138"/>
      <c r="C6" s="139" t="str">
        <f t="shared" si="5"/>
        <v> Truesdale %</v>
      </c>
      <c r="D6" s="140">
        <f t="shared" si="6"/>
        <v>0.2777777778</v>
      </c>
      <c r="E6" s="141"/>
      <c r="F6" s="141"/>
      <c r="G6" s="141"/>
      <c r="H6" s="141"/>
      <c r="I6" s="141"/>
      <c r="J6" s="141"/>
      <c r="K6" s="138"/>
      <c r="L6" s="139" t="str">
        <f t="shared" si="7"/>
        <v> Pearlmutter %</v>
      </c>
      <c r="M6" s="142">
        <f t="shared" si="8"/>
        <v>0.2777777778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Sarchio")</f>
        <v> Sarchio</v>
      </c>
      <c r="D10" s="149"/>
      <c r="E10" s="150">
        <v>1.0</v>
      </c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Tate")</f>
        <v> Tate</v>
      </c>
      <c r="M10" s="153"/>
      <c r="N10" s="150">
        <v>1.0</v>
      </c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Truesdale")</f>
        <v> Truesdale</v>
      </c>
      <c r="D11" s="149">
        <v>1.0</v>
      </c>
      <c r="E11" s="154"/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Pearlmutter")</f>
        <v> Pearlmutter</v>
      </c>
      <c r="M11" s="149">
        <v>1.0</v>
      </c>
      <c r="N11" s="154"/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Sarchio</v>
      </c>
      <c r="D12" s="149">
        <v>1.0</v>
      </c>
      <c r="E12" s="150"/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Tate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Truesdale</v>
      </c>
      <c r="D13" s="149">
        <v>1.0</v>
      </c>
      <c r="E13" s="154"/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Pearlmutter</v>
      </c>
      <c r="M13" s="149">
        <v>1.0</v>
      </c>
      <c r="N13" s="157"/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Sarchio</v>
      </c>
      <c r="D14" s="149">
        <v>1.0</v>
      </c>
      <c r="E14" s="150"/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Tate</v>
      </c>
      <c r="M14" s="149">
        <v>1.0</v>
      </c>
      <c r="N14" s="157"/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Truesdale</v>
      </c>
      <c r="D15" s="153"/>
      <c r="E15" s="150">
        <v>1.0</v>
      </c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Pearlmutter</v>
      </c>
      <c r="M15" s="149">
        <v>1.0</v>
      </c>
      <c r="N15" s="157"/>
      <c r="O15" s="151">
        <v>1.0</v>
      </c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Sarchio</v>
      </c>
      <c r="D16" s="149">
        <v>1.0</v>
      </c>
      <c r="E16" s="157"/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Tate</v>
      </c>
      <c r="M16" s="149">
        <v>1.0</v>
      </c>
      <c r="N16" s="157"/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Truesdale</v>
      </c>
      <c r="D17" s="149">
        <v>1.0</v>
      </c>
      <c r="E17" s="154"/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Pearlmutter</v>
      </c>
      <c r="M17" s="158"/>
      <c r="N17" s="150">
        <v>1.0</v>
      </c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Sarchio</v>
      </c>
      <c r="D18" s="149">
        <v>1.0</v>
      </c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Tate</v>
      </c>
      <c r="M18" s="149">
        <v>1.0</v>
      </c>
      <c r="N18" s="157"/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Truesdale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Pearlmutter</v>
      </c>
      <c r="M19" s="149">
        <v>1.0</v>
      </c>
      <c r="N19" s="154"/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Sarchio</v>
      </c>
      <c r="D20" s="149">
        <v>1.0</v>
      </c>
      <c r="E20" s="154"/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Tate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Truesdale</v>
      </c>
      <c r="D21" s="149">
        <v>1.0</v>
      </c>
      <c r="E21" s="157"/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Pearlmutter</v>
      </c>
      <c r="M21" s="149">
        <v>1.0</v>
      </c>
      <c r="N21" s="157"/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Sarchio</v>
      </c>
      <c r="D22" s="149">
        <v>1.0</v>
      </c>
      <c r="E22" s="157"/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 Tate</v>
      </c>
      <c r="M22" s="153"/>
      <c r="N22" s="150">
        <v>1.0</v>
      </c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Truesdale</v>
      </c>
      <c r="D23" s="149">
        <v>1.0</v>
      </c>
      <c r="E23" s="157"/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Pearlmutter</v>
      </c>
      <c r="M23" s="153"/>
      <c r="N23" s="150">
        <v>1.0</v>
      </c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Sarchio</v>
      </c>
      <c r="D24" s="149">
        <v>1.0</v>
      </c>
      <c r="E24" s="157"/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Tate</v>
      </c>
      <c r="M24" s="149">
        <v>1.0</v>
      </c>
      <c r="N24" s="157"/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Truesdale</v>
      </c>
      <c r="D25" s="153"/>
      <c r="E25" s="150">
        <v>1.0</v>
      </c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Pearlmutter</v>
      </c>
      <c r="M25" s="158"/>
      <c r="N25" s="150">
        <v>1.0</v>
      </c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Sarchio</v>
      </c>
      <c r="D26" s="149">
        <v>1.0</v>
      </c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Tate</v>
      </c>
      <c r="M26" s="153"/>
      <c r="N26" s="150">
        <v>1.0</v>
      </c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Truesdale</v>
      </c>
      <c r="D27" s="149">
        <v>1.0</v>
      </c>
      <c r="E27" s="157"/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Pearlmutter</v>
      </c>
      <c r="M27" s="149">
        <v>1.0</v>
      </c>
      <c r="N27" s="157"/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Sarchio</v>
      </c>
      <c r="D28" s="149">
        <v>1.0</v>
      </c>
      <c r="E28" s="157"/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Tate</v>
      </c>
      <c r="M28" s="149">
        <v>1.0</v>
      </c>
      <c r="N28" s="157"/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Truesdale</v>
      </c>
      <c r="D29" s="149">
        <v>1.0</v>
      </c>
      <c r="E29" s="157"/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Pearlmutter</v>
      </c>
      <c r="M29" s="149">
        <v>1.0</v>
      </c>
      <c r="N29" s="157"/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Sarchio</v>
      </c>
      <c r="D30" s="149">
        <v>1.0</v>
      </c>
      <c r="E30" s="157"/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Tate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Truesdale</v>
      </c>
      <c r="D31" s="153"/>
      <c r="E31" s="150">
        <v>1.0</v>
      </c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Pearlmutter</v>
      </c>
      <c r="M31" s="158"/>
      <c r="N31" s="150">
        <v>1.0</v>
      </c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Sarchio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Tate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Truesdale</v>
      </c>
      <c r="D33" s="149">
        <v>1.0</v>
      </c>
      <c r="E33" s="157"/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Pearlmutter</v>
      </c>
      <c r="M33" s="149">
        <v>1.0</v>
      </c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Sarchio</v>
      </c>
      <c r="D34" s="149">
        <v>1.0</v>
      </c>
      <c r="E34" s="157"/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Tate</v>
      </c>
      <c r="M34" s="149">
        <v>1.0</v>
      </c>
      <c r="N34" s="157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Truesdale</v>
      </c>
      <c r="D35" s="149">
        <v>1.0</v>
      </c>
      <c r="E35" s="157"/>
      <c r="F35" s="151">
        <v>1.0</v>
      </c>
      <c r="G35" s="133"/>
      <c r="H35" s="133"/>
      <c r="I35" s="133"/>
      <c r="J35" s="152"/>
      <c r="K35" s="135">
        <f t="shared" si="11"/>
        <v>13</v>
      </c>
      <c r="L35" s="156" t="str">
        <f t="shared" si="12"/>
        <v> Pearlmutter</v>
      </c>
      <c r="M35" s="153"/>
      <c r="N35" s="150">
        <v>1.0</v>
      </c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Sarchio</v>
      </c>
      <c r="D36" s="149">
        <v>1.0</v>
      </c>
      <c r="E36" s="157"/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Tate</v>
      </c>
      <c r="M36" s="153"/>
      <c r="N36" s="150">
        <v>1.0</v>
      </c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Truesdale</v>
      </c>
      <c r="D37" s="149">
        <v>1.0</v>
      </c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Pearlmutter</v>
      </c>
      <c r="M37" s="149">
        <v>1.0</v>
      </c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Sarchio</v>
      </c>
      <c r="D38" s="153"/>
      <c r="E38" s="150">
        <v>1.0</v>
      </c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Tate</v>
      </c>
      <c r="M38" s="149">
        <v>1.0</v>
      </c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Truesdale</v>
      </c>
      <c r="D39" s="153"/>
      <c r="E39" s="150">
        <v>1.0</v>
      </c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Pearlmutter</v>
      </c>
      <c r="M39" s="149">
        <v>1.0</v>
      </c>
      <c r="N39" s="157"/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Sarchio</v>
      </c>
      <c r="D40" s="159"/>
      <c r="E40" s="160">
        <v>1.0</v>
      </c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Tate</v>
      </c>
      <c r="M40" s="149">
        <v>1.0</v>
      </c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Truesdale</v>
      </c>
      <c r="D41" s="159">
        <v>1.0</v>
      </c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Pearlmutter</v>
      </c>
      <c r="M41" s="149">
        <v>1.0</v>
      </c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Sarchio</v>
      </c>
      <c r="D42" s="159">
        <v>1.0</v>
      </c>
      <c r="E42" s="160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Tate</v>
      </c>
      <c r="M42" s="149">
        <v>1.0</v>
      </c>
      <c r="N42" s="157"/>
      <c r="O42" s="133"/>
      <c r="P42" s="151">
        <v>1.0</v>
      </c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Truesdale</v>
      </c>
      <c r="D43" s="162"/>
      <c r="E43" s="160">
        <v>1.0</v>
      </c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Pearlmutter</v>
      </c>
      <c r="M43" s="159">
        <v>1.0</v>
      </c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Sarchio</v>
      </c>
      <c r="D44" s="159">
        <v>1.0</v>
      </c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Tate</v>
      </c>
      <c r="M44" s="159"/>
      <c r="N44" s="160">
        <v>1.0</v>
      </c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Truesdale</v>
      </c>
      <c r="D45" s="159">
        <v>1.0</v>
      </c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Pearlmutter</v>
      </c>
      <c r="M45" s="159">
        <v>1.0</v>
      </c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Sarchio</v>
      </c>
      <c r="D46" s="159"/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Tate</v>
      </c>
      <c r="M46" s="159"/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Truesdale</v>
      </c>
      <c r="D47" s="159"/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Pearlmutter</v>
      </c>
      <c r="M47" s="159"/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Sarchio</v>
      </c>
      <c r="D48" s="159"/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Tate</v>
      </c>
      <c r="M48" s="162"/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Truesdale</v>
      </c>
      <c r="D49" s="162"/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Pearlmutter</v>
      </c>
      <c r="M49" s="159"/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Sarchio</v>
      </c>
      <c r="D50" s="159"/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Tate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Truesdale</v>
      </c>
      <c r="D51" s="159"/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Pearlmutter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Sarchio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Tate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Truesdale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Pearlmutter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Sarchio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Tate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Truesdale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Pearlmutter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Sarchio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Tate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Truesdale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Pearlmutter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Sarchio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Tate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Truesdale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Pearlmutter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Sarchio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Tate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Truesdale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Pearlmutter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Sarchio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Tate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Truesdale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Pearlmutter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Sarchio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Tate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Truesdale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Pearlmutter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Sarchio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Tate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Truesdale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Pearlmutter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Sarchio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Tate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Truesdale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Pearlmutter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Sarchio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Tate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Truesdale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Pearlmutter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Sarchio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Tate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Truesdale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Pearlmutter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Sarchio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Tate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Truesdale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Pearlmutter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Sarchio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Tate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Truesdale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Pearlmutter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Sarchio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Tate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Truesdale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Pearlmutter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Sarchio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Tate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Truesdale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Pearlmutter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Sarchio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Tate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Truesdale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Pearlmutter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Sarchio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Tate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Truesdale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Pearlmutter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Sarchio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Tate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Truesdale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Pearlmutter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Sarchio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Tate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Truesdale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Pearlmutter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183</v>
      </c>
      <c r="C3" s="127" t="s">
        <v>100</v>
      </c>
      <c r="D3" s="128">
        <f t="shared" ref="D3:J3" si="1">SUMPRODUCT(D10:D90,MOD(ROW(D10:D90),2)=0)</f>
        <v>17</v>
      </c>
      <c r="E3" s="128">
        <f t="shared" si="1"/>
        <v>4</v>
      </c>
      <c r="F3" s="128">
        <f t="shared" si="1"/>
        <v>2</v>
      </c>
      <c r="G3" s="128">
        <f t="shared" si="1"/>
        <v>1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129</v>
      </c>
      <c r="M3" s="128">
        <f t="shared" ref="M3:S3" si="2">SUMPRODUCT(M10:M90,MOD(ROW(M10:M90),2)=0)</f>
        <v>20</v>
      </c>
      <c r="N3" s="128">
        <f t="shared" si="2"/>
        <v>1</v>
      </c>
      <c r="O3" s="128">
        <f t="shared" si="2"/>
        <v>0</v>
      </c>
      <c r="P3" s="128">
        <f t="shared" si="2"/>
        <v>2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82</v>
      </c>
      <c r="D4" s="133">
        <f t="shared" ref="D4:J4" si="3">SUMPRODUCT(D10:D90,MOD(ROW(D10:D90),2))</f>
        <v>15</v>
      </c>
      <c r="E4" s="133">
        <f t="shared" si="3"/>
        <v>6</v>
      </c>
      <c r="F4" s="133">
        <f t="shared" si="3"/>
        <v>2</v>
      </c>
      <c r="G4" s="133">
        <f t="shared" si="3"/>
        <v>0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130</v>
      </c>
      <c r="M4" s="133">
        <f t="shared" ref="M4:S4" si="4">SUMPRODUCT(M10:M90,MOD(ROW(M10:M90),2))</f>
        <v>17</v>
      </c>
      <c r="N4" s="133">
        <f t="shared" si="4"/>
        <v>4</v>
      </c>
      <c r="O4" s="133">
        <f t="shared" si="4"/>
        <v>1</v>
      </c>
      <c r="P4" s="133">
        <f t="shared" si="4"/>
        <v>0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Gathy %</v>
      </c>
      <c r="D5" s="137">
        <f t="shared" ref="D5:D6" si="6">IFERROR((E3/(E3+D3)),0)</f>
        <v>0.1904761905</v>
      </c>
      <c r="K5" s="135"/>
      <c r="L5" s="136" t="str">
        <f t="shared" ref="L5:L6" si="7">IFERROR((L10 &amp;" %"), "")</f>
        <v> Bashour %</v>
      </c>
      <c r="M5" s="137">
        <f t="shared" ref="M5:M6" si="8">IFERROR((N3/(N3+M3)),0)</f>
        <v>0.04761904762</v>
      </c>
      <c r="S5" s="132"/>
      <c r="T5" s="132"/>
      <c r="U5" s="7"/>
    </row>
    <row r="6">
      <c r="A6" s="14"/>
      <c r="B6" s="138"/>
      <c r="C6" s="139" t="str">
        <f t="shared" si="5"/>
        <v> Mies %</v>
      </c>
      <c r="D6" s="140">
        <f t="shared" si="6"/>
        <v>0.2857142857</v>
      </c>
      <c r="E6" s="141"/>
      <c r="F6" s="141"/>
      <c r="G6" s="141"/>
      <c r="H6" s="141"/>
      <c r="I6" s="141"/>
      <c r="J6" s="141"/>
      <c r="K6" s="138"/>
      <c r="L6" s="139" t="str">
        <f t="shared" si="7"/>
        <v> Mullen %</v>
      </c>
      <c r="M6" s="142">
        <f t="shared" si="8"/>
        <v>0.1904761905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Gathy")</f>
        <v> Gathy</v>
      </c>
      <c r="D10" s="149"/>
      <c r="E10" s="150">
        <v>1.0</v>
      </c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Bashour")</f>
        <v> Bashour</v>
      </c>
      <c r="M10" s="149">
        <v>1.0</v>
      </c>
      <c r="N10" s="154"/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Mies")</f>
        <v> Mies</v>
      </c>
      <c r="D11" s="149">
        <v>1.0</v>
      </c>
      <c r="E11" s="154"/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Mullen")</f>
        <v> Mullen</v>
      </c>
      <c r="M11" s="153"/>
      <c r="N11" s="150">
        <v>1.0</v>
      </c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Gathy</v>
      </c>
      <c r="D12" s="149">
        <v>1.0</v>
      </c>
      <c r="E12" s="150"/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Bashour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Mies</v>
      </c>
      <c r="D13" s="149"/>
      <c r="E13" s="150">
        <v>1.0</v>
      </c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Mullen</v>
      </c>
      <c r="M13" s="149"/>
      <c r="N13" s="150">
        <v>1.0</v>
      </c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Gathy</v>
      </c>
      <c r="D14" s="149">
        <v>1.0</v>
      </c>
      <c r="E14" s="150"/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Bashour</v>
      </c>
      <c r="M14" s="149">
        <v>1.0</v>
      </c>
      <c r="N14" s="157"/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Mies</v>
      </c>
      <c r="D15" s="149">
        <v>1.0</v>
      </c>
      <c r="E15" s="150"/>
      <c r="F15" s="151">
        <v>1.0</v>
      </c>
      <c r="G15" s="133"/>
      <c r="H15" s="133"/>
      <c r="I15" s="133"/>
      <c r="J15" s="152"/>
      <c r="K15" s="135">
        <f t="shared" si="11"/>
        <v>3</v>
      </c>
      <c r="L15" s="156" t="str">
        <f t="shared" si="12"/>
        <v> Mullen</v>
      </c>
      <c r="M15" s="149">
        <v>1.0</v>
      </c>
      <c r="N15" s="157"/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Gathy</v>
      </c>
      <c r="D16" s="153"/>
      <c r="E16" s="150">
        <v>1.0</v>
      </c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Bashour</v>
      </c>
      <c r="M16" s="149">
        <v>1.0</v>
      </c>
      <c r="N16" s="157"/>
      <c r="O16" s="133"/>
      <c r="P16" s="151">
        <v>1.0</v>
      </c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Mies</v>
      </c>
      <c r="D17" s="149">
        <v>1.0</v>
      </c>
      <c r="E17" s="154"/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Mullen</v>
      </c>
      <c r="M17" s="158"/>
      <c r="N17" s="150">
        <v>1.0</v>
      </c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Gathy</v>
      </c>
      <c r="D18" s="149">
        <v>1.0</v>
      </c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Bashour</v>
      </c>
      <c r="M18" s="149">
        <v>1.0</v>
      </c>
      <c r="N18" s="157"/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Mies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Mullen</v>
      </c>
      <c r="M19" s="149">
        <v>1.0</v>
      </c>
      <c r="N19" s="154"/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Gathy</v>
      </c>
      <c r="D20" s="149">
        <v>1.0</v>
      </c>
      <c r="E20" s="154"/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Bashour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Mies</v>
      </c>
      <c r="D21" s="149">
        <v>1.0</v>
      </c>
      <c r="E21" s="157"/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Mullen</v>
      </c>
      <c r="M21" s="149">
        <v>1.0</v>
      </c>
      <c r="N21" s="157"/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Gathy</v>
      </c>
      <c r="D22" s="149">
        <v>1.0</v>
      </c>
      <c r="E22" s="157"/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 Bashour</v>
      </c>
      <c r="M22" s="149">
        <v>1.0</v>
      </c>
      <c r="N22" s="157"/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Mies</v>
      </c>
      <c r="D23" s="153"/>
      <c r="E23" s="150">
        <v>1.0</v>
      </c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Mullen</v>
      </c>
      <c r="M23" s="149">
        <v>1.0</v>
      </c>
      <c r="N23" s="157"/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Gathy</v>
      </c>
      <c r="D24" s="149">
        <v>1.0</v>
      </c>
      <c r="E24" s="157"/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Bashour</v>
      </c>
      <c r="M24" s="149">
        <v>1.0</v>
      </c>
      <c r="N24" s="157"/>
      <c r="O24" s="133"/>
      <c r="P24" s="151">
        <v>1.0</v>
      </c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Mies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Mullen</v>
      </c>
      <c r="M25" s="149">
        <v>1.0</v>
      </c>
      <c r="N25" s="154"/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Gathy</v>
      </c>
      <c r="D26" s="149">
        <v>1.0</v>
      </c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Bashour</v>
      </c>
      <c r="M26" s="149">
        <v>1.0</v>
      </c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Mies</v>
      </c>
      <c r="D27" s="149">
        <v>1.0</v>
      </c>
      <c r="E27" s="157"/>
      <c r="F27" s="151">
        <v>1.0</v>
      </c>
      <c r="G27" s="133"/>
      <c r="H27" s="133"/>
      <c r="I27" s="133"/>
      <c r="J27" s="152"/>
      <c r="K27" s="135">
        <f t="shared" si="11"/>
        <v>9</v>
      </c>
      <c r="L27" s="156" t="str">
        <f t="shared" si="12"/>
        <v> Mullen</v>
      </c>
      <c r="M27" s="149">
        <v>1.0</v>
      </c>
      <c r="N27" s="157"/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Gathy</v>
      </c>
      <c r="D28" s="149">
        <v>1.0</v>
      </c>
      <c r="E28" s="157"/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Bashour</v>
      </c>
      <c r="M28" s="149">
        <v>1.0</v>
      </c>
      <c r="N28" s="157"/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Mies</v>
      </c>
      <c r="D29" s="149">
        <v>1.0</v>
      </c>
      <c r="E29" s="157"/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Mullen</v>
      </c>
      <c r="M29" s="149">
        <v>1.0</v>
      </c>
      <c r="N29" s="157"/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Gathy</v>
      </c>
      <c r="D30" s="153"/>
      <c r="E30" s="150">
        <v>1.0</v>
      </c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Bashour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Mies</v>
      </c>
      <c r="D31" s="149"/>
      <c r="E31" s="150">
        <v>1.0</v>
      </c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Mullen</v>
      </c>
      <c r="M31" s="149">
        <v>1.0</v>
      </c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Gathy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Bashour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Mies</v>
      </c>
      <c r="D33" s="153"/>
      <c r="E33" s="150">
        <v>1.0</v>
      </c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Mullen</v>
      </c>
      <c r="M33" s="149">
        <v>1.0</v>
      </c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Gathy</v>
      </c>
      <c r="D34" s="149">
        <v>1.0</v>
      </c>
      <c r="E34" s="157"/>
      <c r="F34" s="151">
        <v>1.0</v>
      </c>
      <c r="G34" s="133"/>
      <c r="H34" s="133"/>
      <c r="I34" s="133"/>
      <c r="J34" s="152"/>
      <c r="K34" s="129">
        <f t="shared" si="11"/>
        <v>13</v>
      </c>
      <c r="L34" s="156" t="str">
        <f t="shared" si="12"/>
        <v> Bashour</v>
      </c>
      <c r="M34" s="149">
        <v>1.0</v>
      </c>
      <c r="N34" s="157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Mies</v>
      </c>
      <c r="D35" s="153"/>
      <c r="E35" s="150">
        <v>1.0</v>
      </c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 Mullen</v>
      </c>
      <c r="M35" s="149">
        <v>1.0</v>
      </c>
      <c r="N35" s="157"/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Gathy</v>
      </c>
      <c r="D36" s="149">
        <v>1.0</v>
      </c>
      <c r="E36" s="157"/>
      <c r="F36" s="151">
        <v>1.0</v>
      </c>
      <c r="G36" s="133"/>
      <c r="H36" s="133"/>
      <c r="I36" s="133"/>
      <c r="J36" s="152"/>
      <c r="K36" s="129">
        <f t="shared" si="11"/>
        <v>14</v>
      </c>
      <c r="L36" s="156" t="str">
        <f t="shared" si="12"/>
        <v> Bashour</v>
      </c>
      <c r="M36" s="149">
        <v>1.0</v>
      </c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Mies</v>
      </c>
      <c r="D37" s="149">
        <v>1.0</v>
      </c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Mullen</v>
      </c>
      <c r="M37" s="149">
        <v>1.0</v>
      </c>
      <c r="N37" s="157"/>
      <c r="O37" s="151">
        <v>1.0</v>
      </c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Gathy</v>
      </c>
      <c r="D38" s="153"/>
      <c r="E38" s="150">
        <v>1.0</v>
      </c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Bashour</v>
      </c>
      <c r="M38" s="149">
        <v>1.0</v>
      </c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Mies</v>
      </c>
      <c r="D39" s="149">
        <v>1.0</v>
      </c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Mullen</v>
      </c>
      <c r="M39" s="153"/>
      <c r="N39" s="150">
        <v>1.0</v>
      </c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Gathy</v>
      </c>
      <c r="D40" s="159">
        <v>1.0</v>
      </c>
      <c r="E40" s="160"/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Bashour</v>
      </c>
      <c r="M40" s="149">
        <v>1.0</v>
      </c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Mies</v>
      </c>
      <c r="D41" s="159">
        <v>1.0</v>
      </c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Mullen</v>
      </c>
      <c r="M41" s="149">
        <v>1.0</v>
      </c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Gathy</v>
      </c>
      <c r="D42" s="159">
        <v>1.0</v>
      </c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Bashour</v>
      </c>
      <c r="M42" s="149">
        <v>1.0</v>
      </c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Mies</v>
      </c>
      <c r="D43" s="159">
        <v>1.0</v>
      </c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Mullen</v>
      </c>
      <c r="M43" s="159">
        <v>1.0</v>
      </c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Gathy</v>
      </c>
      <c r="D44" s="159">
        <v>1.0</v>
      </c>
      <c r="E44" s="161"/>
      <c r="F44" s="133"/>
      <c r="G44" s="151">
        <v>1.0</v>
      </c>
      <c r="H44" s="133"/>
      <c r="I44" s="133"/>
      <c r="J44" s="152"/>
      <c r="K44" s="129">
        <f t="shared" si="11"/>
        <v>18</v>
      </c>
      <c r="L44" s="156" t="str">
        <f t="shared" si="12"/>
        <v> Bashour</v>
      </c>
      <c r="M44" s="159">
        <v>1.0</v>
      </c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Mies</v>
      </c>
      <c r="D45" s="159">
        <v>1.0</v>
      </c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Mullen</v>
      </c>
      <c r="M45" s="159">
        <v>1.0</v>
      </c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Gathy</v>
      </c>
      <c r="D46" s="159">
        <v>1.0</v>
      </c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Bashour</v>
      </c>
      <c r="M46" s="159">
        <v>1.0</v>
      </c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Mies</v>
      </c>
      <c r="D47" s="159">
        <v>1.0</v>
      </c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Mullen</v>
      </c>
      <c r="M47" s="159">
        <v>1.0</v>
      </c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Gathy</v>
      </c>
      <c r="D48" s="159">
        <v>1.0</v>
      </c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Bashour</v>
      </c>
      <c r="M48" s="162"/>
      <c r="N48" s="160">
        <v>1.0</v>
      </c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Mies</v>
      </c>
      <c r="D49" s="159">
        <v>1.0</v>
      </c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Mullen</v>
      </c>
      <c r="M49" s="159">
        <v>1.0</v>
      </c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Gathy</v>
      </c>
      <c r="D50" s="159">
        <v>1.0</v>
      </c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Bashour</v>
      </c>
      <c r="M50" s="159">
        <v>1.0</v>
      </c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Mies</v>
      </c>
      <c r="D51" s="159"/>
      <c r="E51" s="160">
        <v>1.0</v>
      </c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Mullen</v>
      </c>
      <c r="M51" s="159">
        <v>1.0</v>
      </c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Gathy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Bashour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Mies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Mullen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Gathy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Bashour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Mies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Mullen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Gathy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Bashour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Mies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Mullen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Gathy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Bashour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Mies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Mullen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Gathy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Bashour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Mies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Mullen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Gathy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Bashour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Mies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Mullen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Gathy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Bashour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Mies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Mullen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Gathy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Bashour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Mies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Mullen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Gathy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Bashour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Mies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Mullen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Gathy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Bashour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Mies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Mullen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Gathy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Bashour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Mies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Mullen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Gathy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Bashour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Mies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Mullen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Gathy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Bashour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Mies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Mullen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Gathy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Bashour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Mies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Mullen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Gathy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Bashour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Mies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Mullen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Gathy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Bashour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Mies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Mullen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Gathy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Bashour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Mies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Mullen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Gathy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Bashour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Mies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Mullen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Gathy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Bashour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Mies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Mullen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110</v>
      </c>
      <c r="D3" s="128">
        <f t="shared" ref="D3:J3" si="1">SUMPRODUCT(D10:D90,MOD(ROW(D10:D90),2)=0)</f>
        <v>9</v>
      </c>
      <c r="E3" s="128">
        <f t="shared" si="1"/>
        <v>5</v>
      </c>
      <c r="F3" s="128">
        <f t="shared" si="1"/>
        <v>1</v>
      </c>
      <c r="G3" s="128">
        <f t="shared" si="1"/>
        <v>0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106</v>
      </c>
      <c r="M3" s="128">
        <f t="shared" ref="M3:S3" si="2">SUMPRODUCT(M10:M90,MOD(ROW(M10:M90),2)=0)</f>
        <v>7</v>
      </c>
      <c r="N3" s="128">
        <f t="shared" si="2"/>
        <v>6</v>
      </c>
      <c r="O3" s="128">
        <f t="shared" si="2"/>
        <v>0</v>
      </c>
      <c r="P3" s="128">
        <f t="shared" si="2"/>
        <v>0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83</v>
      </c>
      <c r="D4" s="133">
        <f t="shared" ref="D4:J4" si="3">SUMPRODUCT(D10:D90,MOD(ROW(D10:D90),2))</f>
        <v>11</v>
      </c>
      <c r="E4" s="133">
        <f t="shared" si="3"/>
        <v>2</v>
      </c>
      <c r="F4" s="133">
        <f t="shared" si="3"/>
        <v>2</v>
      </c>
      <c r="G4" s="133">
        <f t="shared" si="3"/>
        <v>0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90</v>
      </c>
      <c r="M4" s="133">
        <f t="shared" ref="M4:S4" si="4">SUMPRODUCT(M10:M90,MOD(ROW(M10:M90),2))</f>
        <v>9</v>
      </c>
      <c r="N4" s="133">
        <f t="shared" si="4"/>
        <v>4</v>
      </c>
      <c r="O4" s="133">
        <f t="shared" si="4"/>
        <v>0</v>
      </c>
      <c r="P4" s="133">
        <f t="shared" si="4"/>
        <v>0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Drolet %</v>
      </c>
      <c r="D5" s="137">
        <f t="shared" ref="D5:D6" si="6">IFERROR((E3/(E3+D3)),0)</f>
        <v>0.3571428571</v>
      </c>
      <c r="K5" s="135"/>
      <c r="L5" s="136" t="str">
        <f t="shared" ref="L5:L6" si="7">IFERROR((L10 &amp;" %"), "")</f>
        <v> Gandarias %</v>
      </c>
      <c r="M5" s="137">
        <f t="shared" ref="M5:M6" si="8">IFERROR((N3/(N3+M3)),0)</f>
        <v>0.4615384615</v>
      </c>
      <c r="S5" s="132"/>
      <c r="T5" s="132"/>
      <c r="U5" s="7"/>
    </row>
    <row r="6">
      <c r="A6" s="14"/>
      <c r="B6" s="138"/>
      <c r="C6" s="139" t="str">
        <f t="shared" si="5"/>
        <v> Benton %</v>
      </c>
      <c r="D6" s="140">
        <f t="shared" si="6"/>
        <v>0.1538461538</v>
      </c>
      <c r="E6" s="141"/>
      <c r="F6" s="141"/>
      <c r="G6" s="141"/>
      <c r="H6" s="141"/>
      <c r="I6" s="141"/>
      <c r="J6" s="141"/>
      <c r="K6" s="138"/>
      <c r="L6" s="139" t="str">
        <f t="shared" si="7"/>
        <v> Cartwright %</v>
      </c>
      <c r="M6" s="142">
        <f t="shared" si="8"/>
        <v>0.3076923077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Drolet")</f>
        <v> Drolet</v>
      </c>
      <c r="D10" s="149"/>
      <c r="E10" s="150">
        <v>1.0</v>
      </c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Gandarias")</f>
        <v> Gandarias</v>
      </c>
      <c r="M10" s="149">
        <v>1.0</v>
      </c>
      <c r="N10" s="154"/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Benton")</f>
        <v> Benton</v>
      </c>
      <c r="D11" s="149">
        <v>1.0</v>
      </c>
      <c r="E11" s="154"/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Cartwright")</f>
        <v> Cartwright</v>
      </c>
      <c r="M11" s="149">
        <v>1.0</v>
      </c>
      <c r="N11" s="154"/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Drolet</v>
      </c>
      <c r="D12" s="149">
        <v>1.0</v>
      </c>
      <c r="E12" s="150"/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Gandarias</v>
      </c>
      <c r="M12" s="153"/>
      <c r="N12" s="150">
        <v>1.0</v>
      </c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Benton</v>
      </c>
      <c r="D13" s="149">
        <v>1.0</v>
      </c>
      <c r="E13" s="154"/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Cartwright</v>
      </c>
      <c r="M13" s="149">
        <v>1.0</v>
      </c>
      <c r="N13" s="157"/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Drolet</v>
      </c>
      <c r="D14" s="149"/>
      <c r="E14" s="150">
        <v>1.0</v>
      </c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Gandarias</v>
      </c>
      <c r="M14" s="153"/>
      <c r="N14" s="150">
        <v>1.0</v>
      </c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Benton</v>
      </c>
      <c r="D15" s="149">
        <v>1.0</v>
      </c>
      <c r="E15" s="150"/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Cartwright</v>
      </c>
      <c r="M15" s="153"/>
      <c r="N15" s="150">
        <v>1.0</v>
      </c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Drolet</v>
      </c>
      <c r="D16" s="149">
        <v>1.0</v>
      </c>
      <c r="E16" s="157"/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Gandarias</v>
      </c>
      <c r="M16" s="149">
        <v>1.0</v>
      </c>
      <c r="N16" s="157"/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Benton</v>
      </c>
      <c r="D17" s="149"/>
      <c r="E17" s="150">
        <v>1.0</v>
      </c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Cartwright</v>
      </c>
      <c r="M17" s="158"/>
      <c r="N17" s="150">
        <v>1.0</v>
      </c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Drolet</v>
      </c>
      <c r="D18" s="149">
        <v>1.0</v>
      </c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Gandarias</v>
      </c>
      <c r="M18" s="149">
        <v>1.0</v>
      </c>
      <c r="N18" s="157"/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Benton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Cartwright</v>
      </c>
      <c r="M19" s="149">
        <v>1.0</v>
      </c>
      <c r="N19" s="154"/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Drolet</v>
      </c>
      <c r="D20" s="149">
        <v>1.0</v>
      </c>
      <c r="E20" s="154"/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Gandarias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Benton</v>
      </c>
      <c r="D21" s="149">
        <v>1.0</v>
      </c>
      <c r="E21" s="150"/>
      <c r="F21" s="151">
        <v>1.0</v>
      </c>
      <c r="G21" s="133"/>
      <c r="H21" s="133"/>
      <c r="I21" s="133"/>
      <c r="J21" s="152"/>
      <c r="K21" s="135">
        <f t="shared" si="11"/>
        <v>6</v>
      </c>
      <c r="L21" s="156" t="str">
        <f t="shared" si="12"/>
        <v> Cartwright</v>
      </c>
      <c r="M21" s="149">
        <v>1.0</v>
      </c>
      <c r="N21" s="157"/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Drolet</v>
      </c>
      <c r="D22" s="149">
        <v>1.0</v>
      </c>
      <c r="E22" s="157"/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 Gandarias</v>
      </c>
      <c r="M22" s="153"/>
      <c r="N22" s="150">
        <v>1.0</v>
      </c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Benton</v>
      </c>
      <c r="D23" s="149">
        <v>1.0</v>
      </c>
      <c r="E23" s="157"/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Cartwright</v>
      </c>
      <c r="M23" s="149">
        <v>1.0</v>
      </c>
      <c r="N23" s="157"/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Drolet</v>
      </c>
      <c r="D24" s="149">
        <v>1.0</v>
      </c>
      <c r="E24" s="157"/>
      <c r="F24" s="151">
        <v>1.0</v>
      </c>
      <c r="G24" s="133"/>
      <c r="H24" s="133"/>
      <c r="I24" s="133"/>
      <c r="J24" s="152"/>
      <c r="K24" s="129">
        <f t="shared" si="11"/>
        <v>8</v>
      </c>
      <c r="L24" s="156" t="str">
        <f t="shared" si="12"/>
        <v> Gandarias</v>
      </c>
      <c r="M24" s="153"/>
      <c r="N24" s="150">
        <v>1.0</v>
      </c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Benton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Cartwright</v>
      </c>
      <c r="M25" s="158"/>
      <c r="N25" s="150">
        <v>1.0</v>
      </c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Drolet</v>
      </c>
      <c r="D26" s="149">
        <v>1.0</v>
      </c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Gandarias</v>
      </c>
      <c r="M26" s="153"/>
      <c r="N26" s="150">
        <v>1.0</v>
      </c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Benton</v>
      </c>
      <c r="D27" s="149">
        <v>1.0</v>
      </c>
      <c r="E27" s="157"/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Cartwright</v>
      </c>
      <c r="M27" s="149">
        <v>1.0</v>
      </c>
      <c r="N27" s="157"/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Drolet</v>
      </c>
      <c r="D28" s="153"/>
      <c r="E28" s="150">
        <v>1.0</v>
      </c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Gandarias</v>
      </c>
      <c r="M28" s="149">
        <v>1.0</v>
      </c>
      <c r="N28" s="157"/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Benton</v>
      </c>
      <c r="D29" s="149">
        <v>1.0</v>
      </c>
      <c r="E29" s="157"/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Cartwright</v>
      </c>
      <c r="M29" s="149">
        <v>1.0</v>
      </c>
      <c r="N29" s="157"/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Drolet</v>
      </c>
      <c r="D30" s="153"/>
      <c r="E30" s="150">
        <v>1.0</v>
      </c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Gandarias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Benton</v>
      </c>
      <c r="D31" s="153"/>
      <c r="E31" s="150">
        <v>1.0</v>
      </c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Cartwright</v>
      </c>
      <c r="M31" s="149">
        <v>1.0</v>
      </c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Drolet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Gandarias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Benton</v>
      </c>
      <c r="D33" s="149">
        <v>1.0</v>
      </c>
      <c r="E33" s="157"/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Cartwright</v>
      </c>
      <c r="M33" s="149">
        <v>1.0</v>
      </c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Drolet</v>
      </c>
      <c r="D34" s="153"/>
      <c r="E34" s="150">
        <v>1.0</v>
      </c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Gandarias</v>
      </c>
      <c r="M34" s="153"/>
      <c r="N34" s="150">
        <v>1.0</v>
      </c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Benton</v>
      </c>
      <c r="D35" s="149">
        <v>1.0</v>
      </c>
      <c r="E35" s="157"/>
      <c r="F35" s="151">
        <v>1.0</v>
      </c>
      <c r="G35" s="133"/>
      <c r="H35" s="133"/>
      <c r="I35" s="133"/>
      <c r="J35" s="152"/>
      <c r="K35" s="135">
        <f t="shared" si="11"/>
        <v>13</v>
      </c>
      <c r="L35" s="156" t="str">
        <f t="shared" si="12"/>
        <v> Cartwright</v>
      </c>
      <c r="M35" s="153"/>
      <c r="N35" s="150">
        <v>1.0</v>
      </c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Drolet</v>
      </c>
      <c r="D36" s="149">
        <v>1.0</v>
      </c>
      <c r="E36" s="157"/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Gandarias</v>
      </c>
      <c r="M36" s="153"/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Benton</v>
      </c>
      <c r="D37" s="153"/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Cartwright</v>
      </c>
      <c r="M37" s="153"/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Drolet</v>
      </c>
      <c r="D38" s="153"/>
      <c r="E38" s="157"/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Gandarias</v>
      </c>
      <c r="M38" s="153"/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Benton</v>
      </c>
      <c r="D39" s="153"/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Cartwright</v>
      </c>
      <c r="M39" s="153"/>
      <c r="N39" s="157"/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Drolet</v>
      </c>
      <c r="D40" s="159"/>
      <c r="E40" s="160"/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Gandarias</v>
      </c>
      <c r="M40" s="153"/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Benton</v>
      </c>
      <c r="D41" s="159"/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Cartwright</v>
      </c>
      <c r="M41" s="158"/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Drolet</v>
      </c>
      <c r="D42" s="159"/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Gandarias</v>
      </c>
      <c r="M42" s="153"/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Benton</v>
      </c>
      <c r="D43" s="162"/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Cartwright</v>
      </c>
      <c r="M43" s="159"/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Drolet</v>
      </c>
      <c r="D44" s="159"/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Gandarias</v>
      </c>
      <c r="M44" s="159"/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Benton</v>
      </c>
      <c r="D45" s="159"/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Cartwright</v>
      </c>
      <c r="M45" s="159"/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Drolet</v>
      </c>
      <c r="D46" s="159"/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Gandarias</v>
      </c>
      <c r="M46" s="159"/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Benton</v>
      </c>
      <c r="D47" s="159"/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Cartwright</v>
      </c>
      <c r="M47" s="159"/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Drolet</v>
      </c>
      <c r="D48" s="159"/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Gandarias</v>
      </c>
      <c r="M48" s="162"/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Benton</v>
      </c>
      <c r="D49" s="162"/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Cartwright</v>
      </c>
      <c r="M49" s="159"/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Drolet</v>
      </c>
      <c r="D50" s="159"/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Gandarias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Benton</v>
      </c>
      <c r="D51" s="159"/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Cartwright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Drolet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Gandarias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Benton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Cartwright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Drolet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Gandarias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Benton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Cartwright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Drolet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Gandarias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Benton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Cartwright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Drolet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Gandarias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Benton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Cartwright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Drolet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Gandarias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Benton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Cartwright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Drolet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Gandarias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Benton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Cartwright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Drolet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Gandarias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Benton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Cartwright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Drolet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Gandarias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Benton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Cartwright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Drolet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Gandarias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Benton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Cartwright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Drolet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Gandarias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Benton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Cartwright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Drolet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Gandarias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Benton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Cartwright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Drolet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Gandarias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Benton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Cartwright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Drolet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Gandarias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Benton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Cartwright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Drolet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Gandarias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Benton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Cartwright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Drolet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Gandarias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Benton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Cartwright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Drolet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Gandarias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Benton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Cartwright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Drolet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Gandarias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Benton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Cartwright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Drolet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Gandarias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Benton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Cartwright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Drolet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Gandarias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Benton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Cartwright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131</v>
      </c>
      <c r="D3" s="128">
        <f t="shared" ref="D3:J3" si="1">SUMPRODUCT(D10:D90,MOD(ROW(D10:D90),2)=0)</f>
        <v>13</v>
      </c>
      <c r="E3" s="128">
        <f t="shared" si="1"/>
        <v>4</v>
      </c>
      <c r="F3" s="128">
        <f t="shared" si="1"/>
        <v>1</v>
      </c>
      <c r="G3" s="128">
        <f t="shared" si="1"/>
        <v>1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112</v>
      </c>
      <c r="M3" s="128">
        <f t="shared" ref="M3:S3" si="2">SUMPRODUCT(M10:M90,MOD(ROW(M10:M90),2)=0)</f>
        <v>14</v>
      </c>
      <c r="N3" s="128">
        <f t="shared" si="2"/>
        <v>2</v>
      </c>
      <c r="O3" s="128">
        <f t="shared" si="2"/>
        <v>0</v>
      </c>
      <c r="P3" s="128">
        <f t="shared" si="2"/>
        <v>2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132</v>
      </c>
      <c r="D4" s="133">
        <f t="shared" ref="D4:J4" si="3">SUMPRODUCT(D10:D90,MOD(ROW(D10:D90),2))</f>
        <v>14</v>
      </c>
      <c r="E4" s="133">
        <f t="shared" si="3"/>
        <v>3</v>
      </c>
      <c r="F4" s="133">
        <f t="shared" si="3"/>
        <v>1</v>
      </c>
      <c r="G4" s="133">
        <f t="shared" si="3"/>
        <v>2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94</v>
      </c>
      <c r="M4" s="133">
        <f t="shared" ref="M4:S4" si="4">SUMPRODUCT(M10:M90,MOD(ROW(M10:M90),2))</f>
        <v>7</v>
      </c>
      <c r="N4" s="133">
        <f t="shared" si="4"/>
        <v>8</v>
      </c>
      <c r="O4" s="133">
        <f t="shared" si="4"/>
        <v>0</v>
      </c>
      <c r="P4" s="133">
        <f t="shared" si="4"/>
        <v>0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Ronilo %</v>
      </c>
      <c r="D5" s="137">
        <f t="shared" ref="D5:D6" si="6">IFERROR((E3/(E3+D3)),0)</f>
        <v>0.2352941176</v>
      </c>
      <c r="K5" s="135"/>
      <c r="L5" s="136" t="str">
        <f t="shared" ref="L5:L6" si="7">IFERROR((L10 &amp;" %"), "")</f>
        <v> Tate %</v>
      </c>
      <c r="M5" s="137">
        <f t="shared" ref="M5:M6" si="8">IFERROR((N3/(N3+M3)),0)</f>
        <v>0.125</v>
      </c>
      <c r="S5" s="132"/>
      <c r="T5" s="132"/>
      <c r="U5" s="7"/>
    </row>
    <row r="6">
      <c r="A6" s="14"/>
      <c r="B6" s="138"/>
      <c r="C6" s="139" t="str">
        <f t="shared" si="5"/>
        <v> Curtis %</v>
      </c>
      <c r="D6" s="140">
        <f t="shared" si="6"/>
        <v>0.1764705882</v>
      </c>
      <c r="E6" s="141"/>
      <c r="F6" s="141"/>
      <c r="G6" s="141"/>
      <c r="H6" s="141"/>
      <c r="I6" s="141"/>
      <c r="J6" s="141"/>
      <c r="K6" s="138"/>
      <c r="L6" s="139" t="str">
        <f t="shared" si="7"/>
        <v> Pearlmutter %</v>
      </c>
      <c r="M6" s="142">
        <f t="shared" si="8"/>
        <v>0.5333333333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Ronilo")</f>
        <v> Ronilo</v>
      </c>
      <c r="D10" s="149"/>
      <c r="E10" s="150">
        <v>1.0</v>
      </c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Tate")</f>
        <v> Tate</v>
      </c>
      <c r="M10" s="149">
        <v>1.0</v>
      </c>
      <c r="N10" s="154"/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Curtis")</f>
        <v> Curtis</v>
      </c>
      <c r="D11" s="149">
        <v>1.0</v>
      </c>
      <c r="E11" s="154"/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Pearlmutter")</f>
        <v> Pearlmutter</v>
      </c>
      <c r="M11" s="153"/>
      <c r="N11" s="150">
        <v>1.0</v>
      </c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Ronilo</v>
      </c>
      <c r="D12" s="149">
        <v>1.0</v>
      </c>
      <c r="E12" s="150"/>
      <c r="F12" s="151">
        <v>1.0</v>
      </c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Tate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Curtis</v>
      </c>
      <c r="D13" s="149">
        <v>1.0</v>
      </c>
      <c r="E13" s="154"/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Pearlmutter</v>
      </c>
      <c r="M13" s="153"/>
      <c r="N13" s="150">
        <v>1.0</v>
      </c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Ronilo</v>
      </c>
      <c r="D14" s="149">
        <v>1.0</v>
      </c>
      <c r="E14" s="150"/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Tate</v>
      </c>
      <c r="M14" s="153"/>
      <c r="N14" s="150">
        <v>1.0</v>
      </c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Curtis</v>
      </c>
      <c r="D15" s="149">
        <v>1.0</v>
      </c>
      <c r="E15" s="150"/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Pearlmutter</v>
      </c>
      <c r="M15" s="149">
        <v>1.0</v>
      </c>
      <c r="N15" s="157"/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Ronilo</v>
      </c>
      <c r="D16" s="149">
        <v>1.0</v>
      </c>
      <c r="E16" s="157"/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Tate</v>
      </c>
      <c r="M16" s="149">
        <v>1.0</v>
      </c>
      <c r="N16" s="157"/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Curtis</v>
      </c>
      <c r="D17" s="153"/>
      <c r="E17" s="150">
        <v>1.0</v>
      </c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Pearlmutter</v>
      </c>
      <c r="M17" s="158"/>
      <c r="N17" s="150">
        <v>1.0</v>
      </c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Ronilo</v>
      </c>
      <c r="D18" s="149">
        <v>1.0</v>
      </c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Tate</v>
      </c>
      <c r="M18" s="149">
        <v>1.0</v>
      </c>
      <c r="N18" s="157"/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Curtis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Pearlmutter</v>
      </c>
      <c r="M19" s="149">
        <v>1.0</v>
      </c>
      <c r="N19" s="154"/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Ronilo</v>
      </c>
      <c r="D20" s="149">
        <v>1.0</v>
      </c>
      <c r="E20" s="154"/>
      <c r="F20" s="133"/>
      <c r="G20" s="151">
        <v>1.0</v>
      </c>
      <c r="H20" s="133"/>
      <c r="I20" s="133"/>
      <c r="J20" s="152"/>
      <c r="K20" s="129">
        <f t="shared" si="11"/>
        <v>6</v>
      </c>
      <c r="L20" s="156" t="str">
        <f t="shared" si="12"/>
        <v> Tate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Curtis</v>
      </c>
      <c r="D21" s="153"/>
      <c r="E21" s="150">
        <v>1.0</v>
      </c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Pearlmutter</v>
      </c>
      <c r="M21" s="153"/>
      <c r="N21" s="150">
        <v>1.0</v>
      </c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Ronilo</v>
      </c>
      <c r="D22" s="149">
        <v>1.0</v>
      </c>
      <c r="E22" s="157"/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 Tate</v>
      </c>
      <c r="M22" s="149">
        <v>1.0</v>
      </c>
      <c r="N22" s="157"/>
      <c r="O22" s="133"/>
      <c r="P22" s="151">
        <v>1.0</v>
      </c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Curtis</v>
      </c>
      <c r="D23" s="149">
        <v>1.0</v>
      </c>
      <c r="E23" s="157"/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Pearlmutter</v>
      </c>
      <c r="M23" s="149">
        <v>1.0</v>
      </c>
      <c r="N23" s="157"/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Ronilo</v>
      </c>
      <c r="D24" s="149">
        <v>1.0</v>
      </c>
      <c r="E24" s="157"/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Tate</v>
      </c>
      <c r="M24" s="149">
        <v>1.0</v>
      </c>
      <c r="N24" s="157"/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Curtis</v>
      </c>
      <c r="D25" s="149">
        <v>1.0</v>
      </c>
      <c r="E25" s="157"/>
      <c r="F25" s="151">
        <v>1.0</v>
      </c>
      <c r="G25" s="133"/>
      <c r="H25" s="133"/>
      <c r="I25" s="133"/>
      <c r="J25" s="152"/>
      <c r="K25" s="135">
        <f t="shared" si="11"/>
        <v>8</v>
      </c>
      <c r="L25" s="156" t="str">
        <f t="shared" si="12"/>
        <v> Pearlmutter</v>
      </c>
      <c r="M25" s="158"/>
      <c r="N25" s="150">
        <v>1.0</v>
      </c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Ronilo</v>
      </c>
      <c r="D26" s="149">
        <v>1.0</v>
      </c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Tate</v>
      </c>
      <c r="M26" s="149">
        <v>1.0</v>
      </c>
      <c r="N26" s="157"/>
      <c r="O26" s="133"/>
      <c r="P26" s="151">
        <v>1.0</v>
      </c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Curtis</v>
      </c>
      <c r="D27" s="149">
        <v>1.0</v>
      </c>
      <c r="E27" s="157"/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Pearlmutter</v>
      </c>
      <c r="M27" s="149">
        <v>1.0</v>
      </c>
      <c r="N27" s="157"/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Ronilo</v>
      </c>
      <c r="D28" s="149">
        <v>1.0</v>
      </c>
      <c r="E28" s="157"/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Tate</v>
      </c>
      <c r="M28" s="149">
        <v>1.0</v>
      </c>
      <c r="N28" s="157"/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Curtis</v>
      </c>
      <c r="D29" s="149">
        <v>1.0</v>
      </c>
      <c r="E29" s="157"/>
      <c r="F29" s="133"/>
      <c r="G29" s="151">
        <v>1.0</v>
      </c>
      <c r="H29" s="133"/>
      <c r="I29" s="133"/>
      <c r="J29" s="152"/>
      <c r="K29" s="135">
        <f t="shared" si="11"/>
        <v>10</v>
      </c>
      <c r="L29" s="156" t="str">
        <f t="shared" si="12"/>
        <v> Pearlmutter</v>
      </c>
      <c r="M29" s="153"/>
      <c r="N29" s="150">
        <v>1.0</v>
      </c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Ronilo</v>
      </c>
      <c r="D30" s="153"/>
      <c r="E30" s="150">
        <v>1.0</v>
      </c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Tate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Curtis</v>
      </c>
      <c r="D31" s="149">
        <v>1.0</v>
      </c>
      <c r="E31" s="157"/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Pearlmutter</v>
      </c>
      <c r="M31" s="158"/>
      <c r="N31" s="150">
        <v>1.0</v>
      </c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Ronilo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Tate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Curtis</v>
      </c>
      <c r="D33" s="149">
        <v>1.0</v>
      </c>
      <c r="E33" s="157"/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Pearlmutter</v>
      </c>
      <c r="M33" s="158"/>
      <c r="N33" s="150">
        <v>1.0</v>
      </c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Ronilo</v>
      </c>
      <c r="D34" s="153"/>
      <c r="E34" s="150">
        <v>1.0</v>
      </c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Tate</v>
      </c>
      <c r="M34" s="149">
        <v>1.0</v>
      </c>
      <c r="N34" s="157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Curtis</v>
      </c>
      <c r="D35" s="149">
        <v>1.0</v>
      </c>
      <c r="E35" s="157"/>
      <c r="F35" s="133"/>
      <c r="G35" s="151">
        <v>1.0</v>
      </c>
      <c r="H35" s="133"/>
      <c r="I35" s="133"/>
      <c r="J35" s="152"/>
      <c r="K35" s="135">
        <f t="shared" si="11"/>
        <v>13</v>
      </c>
      <c r="L35" s="156" t="str">
        <f t="shared" si="12"/>
        <v> Pearlmutter</v>
      </c>
      <c r="M35" s="149">
        <v>1.0</v>
      </c>
      <c r="N35" s="157"/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Ronilo</v>
      </c>
      <c r="D36" s="153"/>
      <c r="E36" s="150">
        <v>1.0</v>
      </c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Tate</v>
      </c>
      <c r="M36" s="149">
        <v>1.0</v>
      </c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Curtis</v>
      </c>
      <c r="D37" s="149">
        <v>1.0</v>
      </c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Pearlmutter</v>
      </c>
      <c r="M37" s="149">
        <v>1.0</v>
      </c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Ronilo</v>
      </c>
      <c r="D38" s="149">
        <v>1.0</v>
      </c>
      <c r="E38" s="157"/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Tate</v>
      </c>
      <c r="M38" s="149">
        <v>1.0</v>
      </c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Curtis</v>
      </c>
      <c r="D39" s="153"/>
      <c r="E39" s="150">
        <v>1.0</v>
      </c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Pearlmutter</v>
      </c>
      <c r="M39" s="149">
        <v>1.0</v>
      </c>
      <c r="N39" s="157"/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Ronilo</v>
      </c>
      <c r="D40" s="159">
        <v>1.0</v>
      </c>
      <c r="E40" s="160"/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Tate</v>
      </c>
      <c r="M40" s="153"/>
      <c r="N40" s="150">
        <v>1.0</v>
      </c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Curtis</v>
      </c>
      <c r="D41" s="159">
        <v>1.0</v>
      </c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Pearlmutter</v>
      </c>
      <c r="M41" s="158"/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Ronilo</v>
      </c>
      <c r="D42" s="159">
        <v>1.0</v>
      </c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Tate</v>
      </c>
      <c r="M42" s="153"/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Curtis</v>
      </c>
      <c r="D43" s="159">
        <v>1.0</v>
      </c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Pearlmutter</v>
      </c>
      <c r="M43" s="159"/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Ronilo</v>
      </c>
      <c r="D44" s="159"/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Tate</v>
      </c>
      <c r="M44" s="159"/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Curtis</v>
      </c>
      <c r="D45" s="159"/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Pearlmutter</v>
      </c>
      <c r="M45" s="159"/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Ronilo</v>
      </c>
      <c r="D46" s="159"/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Tate</v>
      </c>
      <c r="M46" s="159"/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Curtis</v>
      </c>
      <c r="D47" s="159"/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Pearlmutter</v>
      </c>
      <c r="M47" s="159"/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Ronilo</v>
      </c>
      <c r="D48" s="159"/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Tate</v>
      </c>
      <c r="M48" s="162"/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Curtis</v>
      </c>
      <c r="D49" s="162"/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Pearlmutter</v>
      </c>
      <c r="M49" s="159"/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Ronilo</v>
      </c>
      <c r="D50" s="159"/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Tate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Curtis</v>
      </c>
      <c r="D51" s="159"/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Pearlmutter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Ronilo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Tate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Curtis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Pearlmutter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Ronilo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Tate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Curtis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Pearlmutter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Ronilo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Tate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Curtis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Pearlmutter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Ronilo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Tate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Curtis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Pearlmutter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Ronilo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Tate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Curtis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Pearlmutter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Ronilo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Tate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Curtis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Pearlmutter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Ronilo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Tate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Curtis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Pearlmutter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Ronilo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Tate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Curtis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Pearlmutter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Ronilo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Tate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Curtis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Pearlmutter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Ronilo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Tate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Curtis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Pearlmutter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Ronilo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Tate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Curtis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Pearlmutter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Ronilo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Tate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Curtis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Pearlmutter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Ronilo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Tate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Curtis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Pearlmutter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Ronilo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Tate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Curtis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Pearlmutter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Ronilo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Tate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Curtis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Pearlmutter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Ronilo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Tate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Curtis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Pearlmutter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Ronilo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Tate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Curtis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Pearlmutter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Ronilo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Tate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Curtis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Pearlmutter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Ronilo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Tate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Curtis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Pearlmutter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76</v>
      </c>
      <c r="D3" s="128">
        <f t="shared" ref="D3:J3" si="1">SUMPRODUCT(D10:D90,MOD(ROW(D10:D90),2)=0)</f>
        <v>9</v>
      </c>
      <c r="E3" s="128">
        <f t="shared" si="1"/>
        <v>5</v>
      </c>
      <c r="F3" s="128">
        <f t="shared" si="1"/>
        <v>1</v>
      </c>
      <c r="G3" s="128">
        <f t="shared" si="1"/>
        <v>0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95</v>
      </c>
      <c r="M3" s="128">
        <f t="shared" ref="M3:S3" si="2">SUMPRODUCT(M10:M90,MOD(ROW(M10:M90),2)=0)</f>
        <v>10</v>
      </c>
      <c r="N3" s="128">
        <f t="shared" si="2"/>
        <v>4</v>
      </c>
      <c r="O3" s="128">
        <f t="shared" si="2"/>
        <v>1</v>
      </c>
      <c r="P3" s="128">
        <f t="shared" si="2"/>
        <v>1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85</v>
      </c>
      <c r="D4" s="133">
        <f t="shared" ref="D4:J4" si="3">SUMPRODUCT(D10:D90,MOD(ROW(D10:D90),2))</f>
        <v>9</v>
      </c>
      <c r="E4" s="133">
        <f t="shared" si="3"/>
        <v>5</v>
      </c>
      <c r="F4" s="133">
        <f t="shared" si="3"/>
        <v>1</v>
      </c>
      <c r="G4" s="133">
        <f t="shared" si="3"/>
        <v>0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74</v>
      </c>
      <c r="M4" s="133">
        <f t="shared" ref="M4:S4" si="4">SUMPRODUCT(M10:M90,MOD(ROW(M10:M90),2))</f>
        <v>9</v>
      </c>
      <c r="N4" s="133">
        <f t="shared" si="4"/>
        <v>5</v>
      </c>
      <c r="O4" s="133">
        <f t="shared" si="4"/>
        <v>0</v>
      </c>
      <c r="P4" s="133">
        <f t="shared" si="4"/>
        <v>0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Lawry %</v>
      </c>
      <c r="D5" s="137">
        <f t="shared" ref="D5:D6" si="6">IFERROR((E3/(E3+D3)),0)</f>
        <v>0.3571428571</v>
      </c>
      <c r="K5" s="135"/>
      <c r="L5" s="136" t="str">
        <f t="shared" ref="L5:L6" si="7">IFERROR((L10 &amp;" %"), "")</f>
        <v> Sarchio %</v>
      </c>
      <c r="M5" s="137">
        <f t="shared" ref="M5:M6" si="8">IFERROR((N3/(N3+M3)),0)</f>
        <v>0.2857142857</v>
      </c>
      <c r="S5" s="132"/>
      <c r="T5" s="132"/>
      <c r="U5" s="7"/>
    </row>
    <row r="6">
      <c r="A6" s="14"/>
      <c r="B6" s="138"/>
      <c r="C6" s="139" t="str">
        <f t="shared" si="5"/>
        <v> Brandon %</v>
      </c>
      <c r="D6" s="140">
        <f t="shared" si="6"/>
        <v>0.3571428571</v>
      </c>
      <c r="E6" s="141"/>
      <c r="F6" s="141"/>
      <c r="G6" s="141"/>
      <c r="H6" s="141"/>
      <c r="I6" s="141"/>
      <c r="J6" s="141"/>
      <c r="K6" s="138"/>
      <c r="L6" s="139" t="str">
        <f t="shared" si="7"/>
        <v> Truesdale %</v>
      </c>
      <c r="M6" s="142">
        <f t="shared" si="8"/>
        <v>0.3571428571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Lawry")</f>
        <v> Lawry</v>
      </c>
      <c r="D10" s="149">
        <v>1.0</v>
      </c>
      <c r="E10" s="150"/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Sarchio")</f>
        <v> Sarchio</v>
      </c>
      <c r="M10" s="153"/>
      <c r="N10" s="150">
        <v>1.0</v>
      </c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Brandon")</f>
        <v> Brandon</v>
      </c>
      <c r="D11" s="149">
        <v>1.0</v>
      </c>
      <c r="E11" s="154"/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Truesdale")</f>
        <v> Truesdale</v>
      </c>
      <c r="M11" s="149">
        <v>1.0</v>
      </c>
      <c r="N11" s="154"/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Lawry</v>
      </c>
      <c r="D12" s="149"/>
      <c r="E12" s="150">
        <v>1.0</v>
      </c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Sarchio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Brandon</v>
      </c>
      <c r="D13" s="149"/>
      <c r="E13" s="150">
        <v>1.0</v>
      </c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Truesdale</v>
      </c>
      <c r="M13" s="153"/>
      <c r="N13" s="150">
        <v>1.0</v>
      </c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Lawry</v>
      </c>
      <c r="D14" s="153"/>
      <c r="E14" s="150">
        <v>1.0</v>
      </c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Sarchio</v>
      </c>
      <c r="M14" s="149">
        <v>1.0</v>
      </c>
      <c r="N14" s="157"/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Brandon</v>
      </c>
      <c r="D15" s="149">
        <v>1.0</v>
      </c>
      <c r="E15" s="150"/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Truesdale</v>
      </c>
      <c r="M15" s="149">
        <v>1.0</v>
      </c>
      <c r="N15" s="157"/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Lawry</v>
      </c>
      <c r="D16" s="153"/>
      <c r="E16" s="150">
        <v>1.0</v>
      </c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Sarchio</v>
      </c>
      <c r="M16" s="149">
        <v>1.0</v>
      </c>
      <c r="N16" s="157"/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Brandon</v>
      </c>
      <c r="D17" s="149">
        <v>1.0</v>
      </c>
      <c r="E17" s="154"/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Truesdale</v>
      </c>
      <c r="M17" s="149">
        <v>1.0</v>
      </c>
      <c r="N17" s="154"/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Lawry</v>
      </c>
      <c r="D18" s="149">
        <v>1.0</v>
      </c>
      <c r="E18" s="154"/>
      <c r="F18" s="151">
        <v>1.0</v>
      </c>
      <c r="G18" s="133"/>
      <c r="H18" s="133"/>
      <c r="I18" s="133"/>
      <c r="J18" s="152"/>
      <c r="K18" s="129">
        <f t="shared" si="11"/>
        <v>5</v>
      </c>
      <c r="L18" s="156" t="str">
        <f t="shared" si="12"/>
        <v> Sarchio</v>
      </c>
      <c r="M18" s="153"/>
      <c r="N18" s="150">
        <v>1.0</v>
      </c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Brandon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Truesdale</v>
      </c>
      <c r="M19" s="149">
        <v>1.0</v>
      </c>
      <c r="N19" s="154"/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Lawry</v>
      </c>
      <c r="D20" s="149">
        <v>1.0</v>
      </c>
      <c r="E20" s="154"/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Sarchio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Brandon</v>
      </c>
      <c r="D21" s="153"/>
      <c r="E21" s="150">
        <v>1.0</v>
      </c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Truesdale</v>
      </c>
      <c r="M21" s="153"/>
      <c r="N21" s="150">
        <v>1.0</v>
      </c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Lawry</v>
      </c>
      <c r="D22" s="149">
        <v>1.0</v>
      </c>
      <c r="E22" s="157"/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 Sarchio</v>
      </c>
      <c r="M22" s="153"/>
      <c r="N22" s="150">
        <v>1.0</v>
      </c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Brandon</v>
      </c>
      <c r="D23" s="153"/>
      <c r="E23" s="150">
        <v>1.0</v>
      </c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Truesdale</v>
      </c>
      <c r="M23" s="153"/>
      <c r="N23" s="150">
        <v>1.0</v>
      </c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Lawry</v>
      </c>
      <c r="D24" s="149">
        <v>1.0</v>
      </c>
      <c r="E24" s="157"/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Sarchio</v>
      </c>
      <c r="M24" s="149">
        <v>1.0</v>
      </c>
      <c r="N24" s="157"/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Brandon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Truesdale</v>
      </c>
      <c r="M25" s="149">
        <v>1.0</v>
      </c>
      <c r="N25" s="154"/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Lawry</v>
      </c>
      <c r="D26" s="149">
        <v>1.0</v>
      </c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Sarchio</v>
      </c>
      <c r="M26" s="149">
        <v>1.0</v>
      </c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Brandon</v>
      </c>
      <c r="D27" s="149">
        <v>1.0</v>
      </c>
      <c r="E27" s="157"/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Truesdale</v>
      </c>
      <c r="M27" s="153"/>
      <c r="N27" s="150">
        <v>1.0</v>
      </c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Lawry</v>
      </c>
      <c r="D28" s="149">
        <v>1.0</v>
      </c>
      <c r="E28" s="157"/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Sarchio</v>
      </c>
      <c r="M28" s="149">
        <v>1.0</v>
      </c>
      <c r="N28" s="157"/>
      <c r="O28" s="133"/>
      <c r="P28" s="151">
        <v>1.0</v>
      </c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Brandon</v>
      </c>
      <c r="D29" s="149">
        <v>1.0</v>
      </c>
      <c r="E29" s="157"/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Truesdale</v>
      </c>
      <c r="M29" s="153"/>
      <c r="N29" s="150">
        <v>1.0</v>
      </c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Lawry</v>
      </c>
      <c r="D30" s="149">
        <v>1.0</v>
      </c>
      <c r="E30" s="157"/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Sarchio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Brandon</v>
      </c>
      <c r="D31" s="149">
        <v>1.0</v>
      </c>
      <c r="E31" s="157"/>
      <c r="F31" s="151">
        <v>1.0</v>
      </c>
      <c r="G31" s="133"/>
      <c r="H31" s="133"/>
      <c r="I31" s="133"/>
      <c r="J31" s="152"/>
      <c r="K31" s="135">
        <f t="shared" si="11"/>
        <v>11</v>
      </c>
      <c r="L31" s="156" t="str">
        <f t="shared" si="12"/>
        <v> Truesdale</v>
      </c>
      <c r="M31" s="149">
        <v>1.0</v>
      </c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Lawry</v>
      </c>
      <c r="D32" s="153"/>
      <c r="E32" s="150">
        <v>1.0</v>
      </c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Sarchio</v>
      </c>
      <c r="M32" s="153"/>
      <c r="N32" s="150">
        <v>1.0</v>
      </c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Brandon</v>
      </c>
      <c r="D33" s="149">
        <v>1.0</v>
      </c>
      <c r="E33" s="157"/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Truesdale</v>
      </c>
      <c r="M33" s="149">
        <v>1.0</v>
      </c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Lawry</v>
      </c>
      <c r="D34" s="149">
        <v>1.0</v>
      </c>
      <c r="E34" s="157"/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Sarchio</v>
      </c>
      <c r="M34" s="149">
        <v>1.0</v>
      </c>
      <c r="N34" s="150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Brandon</v>
      </c>
      <c r="D35" s="153"/>
      <c r="E35" s="150">
        <v>1.0</v>
      </c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 Truesdale</v>
      </c>
      <c r="M35" s="149">
        <v>1.0</v>
      </c>
      <c r="N35" s="157"/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Lawry</v>
      </c>
      <c r="D36" s="153"/>
      <c r="E36" s="150">
        <v>1.0</v>
      </c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Sarchio</v>
      </c>
      <c r="M36" s="149">
        <v>1.0</v>
      </c>
      <c r="N36" s="157"/>
      <c r="O36" s="151">
        <v>1.0</v>
      </c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Brandon</v>
      </c>
      <c r="D37" s="153"/>
      <c r="E37" s="150">
        <v>1.0</v>
      </c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Truesdale</v>
      </c>
      <c r="M37" s="149">
        <v>1.0</v>
      </c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Lawry</v>
      </c>
      <c r="D38" s="153"/>
      <c r="E38" s="157"/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Sarchio</v>
      </c>
      <c r="M38" s="153"/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Brandon</v>
      </c>
      <c r="D39" s="153"/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Truesdale</v>
      </c>
      <c r="M39" s="153"/>
      <c r="N39" s="157"/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Lawry</v>
      </c>
      <c r="D40" s="159"/>
      <c r="E40" s="160"/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Sarchio</v>
      </c>
      <c r="M40" s="153"/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Brandon</v>
      </c>
      <c r="D41" s="159"/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Truesdale</v>
      </c>
      <c r="M41" s="158"/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Lawry</v>
      </c>
      <c r="D42" s="159"/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Sarchio</v>
      </c>
      <c r="M42" s="153"/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Brandon</v>
      </c>
      <c r="D43" s="162"/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Truesdale</v>
      </c>
      <c r="M43" s="159"/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Lawry</v>
      </c>
      <c r="D44" s="159"/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Sarchio</v>
      </c>
      <c r="M44" s="159"/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Brandon</v>
      </c>
      <c r="D45" s="159"/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Truesdale</v>
      </c>
      <c r="M45" s="159"/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Lawry</v>
      </c>
      <c r="D46" s="159"/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Sarchio</v>
      </c>
      <c r="M46" s="159"/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Brandon</v>
      </c>
      <c r="D47" s="159"/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Truesdale</v>
      </c>
      <c r="M47" s="159"/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Lawry</v>
      </c>
      <c r="D48" s="159"/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Sarchio</v>
      </c>
      <c r="M48" s="162"/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Brandon</v>
      </c>
      <c r="D49" s="162"/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Truesdale</v>
      </c>
      <c r="M49" s="159"/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Lawry</v>
      </c>
      <c r="D50" s="159"/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Sarchio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Brandon</v>
      </c>
      <c r="D51" s="159"/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Truesdale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Lawry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Sarchio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Brandon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Truesdale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Lawry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Sarchio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Brandon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Truesdale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Lawry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Sarchio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Brandon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Truesdale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Lawry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Sarchio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Brandon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Truesdale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Lawry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Sarchio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Brandon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Truesdale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Lawry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Sarchio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Brandon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Truesdale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Lawry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Sarchio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Brandon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Truesdale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Lawry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Sarchio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Brandon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Truesdale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Lawry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Sarchio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Brandon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Truesdale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Lawry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Sarchio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Brandon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Truesdale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Lawry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Sarchio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Brandon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Truesdale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Lawry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Sarchio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Brandon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Truesdale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Lawry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Sarchio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Brandon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Truesdale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Lawry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Sarchio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Brandon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Truesdale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Lawry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Sarchio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Brandon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Truesdale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Lawry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Sarchio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Brandon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Truesdale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Lawry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Sarchio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Brandon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Truesdale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Lawry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Sarchio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Brandon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Truesdale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Lawry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Sarchio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Brandon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Truesdale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/>
      <c r="C3" s="127" t="s">
        <v>78</v>
      </c>
      <c r="D3" s="176">
        <f t="shared" ref="D3:J3" si="1">SUMPRODUCT(D10:D90,MOD(ROW(D10:D90),2)=0)</f>
        <v>8</v>
      </c>
      <c r="E3" s="128">
        <f t="shared" si="1"/>
        <v>4</v>
      </c>
      <c r="F3" s="128">
        <f t="shared" si="1"/>
        <v>0</v>
      </c>
      <c r="G3" s="128">
        <f t="shared" si="1"/>
        <v>0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/>
      <c r="L3" s="130" t="s">
        <v>85</v>
      </c>
      <c r="M3" s="128">
        <f t="shared" ref="M3:S3" si="2">SUMPRODUCT(M10:M90,MOD(ROW(M10:M90),2)=0)</f>
        <v>5</v>
      </c>
      <c r="N3" s="128">
        <f t="shared" si="2"/>
        <v>4</v>
      </c>
      <c r="O3" s="128">
        <f t="shared" si="2"/>
        <v>0</v>
      </c>
      <c r="P3" s="128">
        <f t="shared" si="2"/>
        <v>1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/>
      <c r="C4" s="127" t="s">
        <v>88</v>
      </c>
      <c r="D4" s="133">
        <f t="shared" ref="D4:J4" si="3">SUMPRODUCT(D10:D90,MOD(ROW(D10:D90),2))</f>
        <v>5</v>
      </c>
      <c r="E4" s="133">
        <f t="shared" si="3"/>
        <v>3</v>
      </c>
      <c r="F4" s="133">
        <f t="shared" si="3"/>
        <v>1</v>
      </c>
      <c r="G4" s="133">
        <f t="shared" si="3"/>
        <v>1</v>
      </c>
      <c r="H4" s="133">
        <f t="shared" si="3"/>
        <v>0</v>
      </c>
      <c r="I4" s="133">
        <f t="shared" si="3"/>
        <v>0</v>
      </c>
      <c r="J4" s="133">
        <f t="shared" si="3"/>
        <v>1</v>
      </c>
      <c r="K4" s="129"/>
      <c r="L4" s="127" t="s">
        <v>76</v>
      </c>
      <c r="M4" s="133">
        <f t="shared" ref="M4:S4" si="4">SUMPRODUCT(M10:M90,MOD(ROW(M10:M90),2))</f>
        <v>6</v>
      </c>
      <c r="N4" s="133">
        <f t="shared" si="4"/>
        <v>3</v>
      </c>
      <c r="O4" s="133">
        <f t="shared" si="4"/>
        <v>1</v>
      </c>
      <c r="P4" s="133">
        <f t="shared" si="4"/>
        <v>0</v>
      </c>
      <c r="Q4" s="133">
        <f t="shared" si="4"/>
        <v>1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King %</v>
      </c>
      <c r="D5" s="137">
        <f t="shared" ref="D5:D6" si="6">IFERROR((E3/(E3+D3)),0)</f>
        <v>0.3333333333</v>
      </c>
      <c r="K5" s="135"/>
      <c r="L5" s="136" t="str">
        <f t="shared" ref="L5:L6" si="7">IFERROR((L10 &amp;" %"), "")</f>
        <v> Brandon %</v>
      </c>
      <c r="M5" s="137">
        <f t="shared" ref="M5:M6" si="8">IFERROR((N3/(N3+M3)),0)</f>
        <v>0.4444444444</v>
      </c>
      <c r="S5" s="132"/>
      <c r="T5" s="132"/>
      <c r="U5" s="7"/>
    </row>
    <row r="6">
      <c r="A6" s="14"/>
      <c r="B6" s="138"/>
      <c r="C6" s="139" t="str">
        <f t="shared" si="5"/>
        <v> Creditor %</v>
      </c>
      <c r="D6" s="140">
        <f t="shared" si="6"/>
        <v>0.375</v>
      </c>
      <c r="E6" s="141"/>
      <c r="F6" s="141"/>
      <c r="G6" s="141"/>
      <c r="H6" s="141"/>
      <c r="I6" s="141"/>
      <c r="J6" s="141"/>
      <c r="K6" s="138"/>
      <c r="L6" s="139" t="str">
        <f t="shared" si="7"/>
        <v> Lawry %</v>
      </c>
      <c r="M6" s="142">
        <f t="shared" si="8"/>
        <v>0.3333333333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King")</f>
        <v> King</v>
      </c>
      <c r="D10" s="149">
        <v>1.0</v>
      </c>
      <c r="E10" s="150"/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Brandon")</f>
        <v> Brandon</v>
      </c>
      <c r="M10" s="149">
        <v>1.0</v>
      </c>
      <c r="N10" s="154"/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Creditor")</f>
        <v> Creditor</v>
      </c>
      <c r="D11" s="149">
        <v>1.0</v>
      </c>
      <c r="E11" s="154"/>
      <c r="F11" s="151">
        <v>1.0</v>
      </c>
      <c r="G11" s="133"/>
      <c r="H11" s="133"/>
      <c r="I11" s="133"/>
      <c r="J11" s="152"/>
      <c r="K11" s="129">
        <v>1.0</v>
      </c>
      <c r="L11" s="136" t="str">
        <f>IFERROR(__xludf.DUMMYFUNCTION("REGEXEXTRACT(L4, ""( .*)+"")")," Lawry")</f>
        <v> Lawry</v>
      </c>
      <c r="M11" s="149">
        <v>1.0</v>
      </c>
      <c r="N11" s="154"/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King</v>
      </c>
      <c r="D12" s="149">
        <v>1.0</v>
      </c>
      <c r="E12" s="150"/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Brandon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Creditor</v>
      </c>
      <c r="D13" s="149"/>
      <c r="E13" s="150">
        <v>1.0</v>
      </c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Lawry</v>
      </c>
      <c r="M13" s="149">
        <v>1.0</v>
      </c>
      <c r="N13" s="157"/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King</v>
      </c>
      <c r="D14" s="149">
        <v>1.0</v>
      </c>
      <c r="E14" s="150"/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Brandon</v>
      </c>
      <c r="M14" s="153"/>
      <c r="N14" s="150">
        <v>1.0</v>
      </c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Creditor</v>
      </c>
      <c r="D15" s="149">
        <v>1.0</v>
      </c>
      <c r="E15" s="150"/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Lawry</v>
      </c>
      <c r="M15" s="149">
        <v>1.0</v>
      </c>
      <c r="N15" s="157"/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King</v>
      </c>
      <c r="D16" s="149">
        <v>1.0</v>
      </c>
      <c r="E16" s="157"/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Brandon</v>
      </c>
      <c r="M16" s="153"/>
      <c r="N16" s="150">
        <v>1.0</v>
      </c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Creditor</v>
      </c>
      <c r="D17" s="153"/>
      <c r="E17" s="150">
        <v>1.0</v>
      </c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Lawry</v>
      </c>
      <c r="M17" s="149">
        <v>1.0</v>
      </c>
      <c r="N17" s="154"/>
      <c r="O17" s="133"/>
      <c r="P17" s="133"/>
      <c r="Q17" s="151">
        <v>1.0</v>
      </c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King</v>
      </c>
      <c r="D18" s="149">
        <v>1.0</v>
      </c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Brandon</v>
      </c>
      <c r="M18" s="153"/>
      <c r="N18" s="150">
        <v>1.0</v>
      </c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Creditor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Lawry</v>
      </c>
      <c r="M19" s="149">
        <v>1.0</v>
      </c>
      <c r="N19" s="154"/>
      <c r="O19" s="151">
        <v>1.0</v>
      </c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King</v>
      </c>
      <c r="D20" s="149">
        <v>1.0</v>
      </c>
      <c r="E20" s="154"/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Brandon</v>
      </c>
      <c r="M20" s="153"/>
      <c r="N20" s="150">
        <v>1.0</v>
      </c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Creditor</v>
      </c>
      <c r="D21" s="153"/>
      <c r="E21" s="150">
        <v>1.0</v>
      </c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Lawry</v>
      </c>
      <c r="M21" s="153"/>
      <c r="N21" s="150">
        <v>1.0</v>
      </c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King</v>
      </c>
      <c r="D22" s="149">
        <v>1.0</v>
      </c>
      <c r="E22" s="157"/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 Brandon</v>
      </c>
      <c r="M22" s="149">
        <v>1.0</v>
      </c>
      <c r="N22" s="157"/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Creditor</v>
      </c>
      <c r="D23" s="149"/>
      <c r="E23" s="157"/>
      <c r="F23" s="133"/>
      <c r="G23" s="133"/>
      <c r="H23" s="133"/>
      <c r="I23" s="133"/>
      <c r="J23" s="175">
        <v>1.0</v>
      </c>
      <c r="K23" s="135">
        <f t="shared" si="11"/>
        <v>7</v>
      </c>
      <c r="L23" s="156" t="str">
        <f t="shared" si="12"/>
        <v> Lawry</v>
      </c>
      <c r="M23" s="153"/>
      <c r="N23" s="150">
        <v>1.0</v>
      </c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King</v>
      </c>
      <c r="D24" s="149"/>
      <c r="E24" s="150">
        <v>1.0</v>
      </c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Brandon</v>
      </c>
      <c r="M24" s="149">
        <v>1.0</v>
      </c>
      <c r="N24" s="157"/>
      <c r="O24" s="133"/>
      <c r="P24" s="151">
        <v>1.0</v>
      </c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Creditor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Lawry</v>
      </c>
      <c r="M25" s="149">
        <v>1.0</v>
      </c>
      <c r="N25" s="154"/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King</v>
      </c>
      <c r="D26" s="153"/>
      <c r="E26" s="150">
        <v>1.0</v>
      </c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Brandon</v>
      </c>
      <c r="M26" s="149">
        <v>1.0</v>
      </c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Creditor</v>
      </c>
      <c r="D27" s="149">
        <v>1.0</v>
      </c>
      <c r="E27" s="157"/>
      <c r="F27" s="133"/>
      <c r="G27" s="151">
        <v>1.0</v>
      </c>
      <c r="H27" s="133"/>
      <c r="I27" s="133"/>
      <c r="J27" s="152"/>
      <c r="K27" s="135">
        <f t="shared" si="11"/>
        <v>9</v>
      </c>
      <c r="L27" s="156" t="str">
        <f t="shared" si="12"/>
        <v> Lawry</v>
      </c>
      <c r="M27" s="153"/>
      <c r="N27" s="150">
        <v>1.0</v>
      </c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King</v>
      </c>
      <c r="D28" s="153"/>
      <c r="E28" s="150">
        <v>1.0</v>
      </c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Brandon</v>
      </c>
      <c r="M28" s="153"/>
      <c r="N28" s="157"/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Creditor</v>
      </c>
      <c r="D29" s="153"/>
      <c r="E29" s="157"/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Lawry</v>
      </c>
      <c r="M29" s="153"/>
      <c r="N29" s="157"/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King</v>
      </c>
      <c r="D30" s="153"/>
      <c r="E30" s="150">
        <v>1.0</v>
      </c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Brandon</v>
      </c>
      <c r="M30" s="153"/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Creditor</v>
      </c>
      <c r="D31" s="153"/>
      <c r="E31" s="157"/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Lawry</v>
      </c>
      <c r="M31" s="158"/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King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Brandon</v>
      </c>
      <c r="M32" s="153"/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Creditor</v>
      </c>
      <c r="D33" s="153"/>
      <c r="E33" s="157"/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Lawry</v>
      </c>
      <c r="M33" s="158"/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King</v>
      </c>
      <c r="D34" s="153"/>
      <c r="E34" s="157"/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Brandon</v>
      </c>
      <c r="M34" s="153"/>
      <c r="N34" s="157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Creditor</v>
      </c>
      <c r="D35" s="153"/>
      <c r="E35" s="157"/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 Lawry</v>
      </c>
      <c r="M35" s="153"/>
      <c r="N35" s="157"/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King</v>
      </c>
      <c r="D36" s="153"/>
      <c r="E36" s="157"/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Brandon</v>
      </c>
      <c r="M36" s="153"/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Creditor</v>
      </c>
      <c r="D37" s="153"/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Lawry</v>
      </c>
      <c r="M37" s="153"/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King</v>
      </c>
      <c r="D38" s="153"/>
      <c r="E38" s="157"/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Brandon</v>
      </c>
      <c r="M38" s="153"/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Creditor</v>
      </c>
      <c r="D39" s="153"/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Lawry</v>
      </c>
      <c r="M39" s="153"/>
      <c r="N39" s="157"/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King</v>
      </c>
      <c r="D40" s="159"/>
      <c r="E40" s="160"/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Brandon</v>
      </c>
      <c r="M40" s="153"/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Creditor</v>
      </c>
      <c r="D41" s="159"/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Lawry</v>
      </c>
      <c r="M41" s="158"/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King</v>
      </c>
      <c r="D42" s="159"/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Brandon</v>
      </c>
      <c r="M42" s="153"/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Creditor</v>
      </c>
      <c r="D43" s="162"/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Lawry</v>
      </c>
      <c r="M43" s="159"/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King</v>
      </c>
      <c r="D44" s="159"/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Brandon</v>
      </c>
      <c r="M44" s="159"/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Creditor</v>
      </c>
      <c r="D45" s="159"/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Lawry</v>
      </c>
      <c r="M45" s="159"/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King</v>
      </c>
      <c r="D46" s="159"/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Brandon</v>
      </c>
      <c r="M46" s="159"/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Creditor</v>
      </c>
      <c r="D47" s="159"/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Lawry</v>
      </c>
      <c r="M47" s="159"/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King</v>
      </c>
      <c r="D48" s="159"/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Brandon</v>
      </c>
      <c r="M48" s="162"/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Creditor</v>
      </c>
      <c r="D49" s="162"/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Lawry</v>
      </c>
      <c r="M49" s="159"/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King</v>
      </c>
      <c r="D50" s="159"/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Brandon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Creditor</v>
      </c>
      <c r="D51" s="159"/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Lawry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King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Brandon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Creditor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Lawry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King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Brandon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Creditor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Lawry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King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Brandon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Creditor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Lawry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King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Brandon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Creditor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Lawry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King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Brandon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Creditor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Lawry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King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Brandon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Creditor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Lawry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King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Brandon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Creditor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Lawry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King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Brandon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Creditor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Lawry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King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Brandon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Creditor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Lawry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King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Brandon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Creditor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Lawry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King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Brandon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Creditor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Lawry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King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Brandon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Creditor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Lawry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King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Brandon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Creditor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Lawry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King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Brandon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Creditor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Lawry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King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Brandon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Creditor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Lawry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King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Brandon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Creditor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Lawry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King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Brandon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Creditor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Lawry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King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Brandon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Creditor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Lawry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King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Brandon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Creditor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Lawry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77</v>
      </c>
      <c r="D3" s="128">
        <f t="shared" ref="D3:J3" si="1">SUMPRODUCT(D10:D90,MOD(ROW(D10:D90),2)=0)</f>
        <v>12</v>
      </c>
      <c r="E3" s="128">
        <f t="shared" si="1"/>
        <v>5</v>
      </c>
      <c r="F3" s="128">
        <f t="shared" si="1"/>
        <v>1</v>
      </c>
      <c r="G3" s="128">
        <f t="shared" si="1"/>
        <v>1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125</v>
      </c>
      <c r="M3" s="128">
        <f t="shared" ref="M3:S3" si="2">SUMPRODUCT(M10:M90,MOD(ROW(M10:M90),2)=0)</f>
        <v>14</v>
      </c>
      <c r="N3" s="128">
        <f t="shared" si="2"/>
        <v>3</v>
      </c>
      <c r="O3" s="128">
        <f t="shared" si="2"/>
        <v>1</v>
      </c>
      <c r="P3" s="128">
        <f t="shared" si="2"/>
        <v>1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101</v>
      </c>
      <c r="D4" s="133">
        <f t="shared" ref="D4:J4" si="3">SUMPRODUCT(D10:D90,MOD(ROW(D10:D90),2))</f>
        <v>16</v>
      </c>
      <c r="E4" s="133">
        <f t="shared" si="3"/>
        <v>3</v>
      </c>
      <c r="F4" s="133">
        <f t="shared" si="3"/>
        <v>2</v>
      </c>
      <c r="G4" s="133">
        <f t="shared" si="3"/>
        <v>0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93</v>
      </c>
      <c r="M4" s="133">
        <f t="shared" ref="M4:S4" si="4">SUMPRODUCT(M10:M90,MOD(ROW(M10:M90),2))</f>
        <v>10</v>
      </c>
      <c r="N4" s="133">
        <f t="shared" si="4"/>
        <v>7</v>
      </c>
      <c r="O4" s="133">
        <f t="shared" si="4"/>
        <v>1</v>
      </c>
      <c r="P4" s="133">
        <f t="shared" si="4"/>
        <v>1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Schreder %</v>
      </c>
      <c r="D5" s="137">
        <f t="shared" ref="D5:D6" si="6">IFERROR((E3/(E3+D3)),0)</f>
        <v>0.2941176471</v>
      </c>
      <c r="K5" s="135"/>
      <c r="L5" s="136" t="str">
        <f t="shared" ref="L5:L6" si="7">IFERROR((L10 &amp;" %"), "")</f>
        <v> Cashman %</v>
      </c>
      <c r="M5" s="137">
        <f t="shared" ref="M5:M6" si="8">IFERROR((N3/(N3+M3)),0)</f>
        <v>0.1764705882</v>
      </c>
      <c r="S5" s="132"/>
      <c r="T5" s="132"/>
      <c r="U5" s="7"/>
    </row>
    <row r="6">
      <c r="A6" s="14"/>
      <c r="B6" s="138"/>
      <c r="C6" s="139" t="str">
        <f t="shared" si="5"/>
        <v> and Matian %</v>
      </c>
      <c r="D6" s="140">
        <f t="shared" si="6"/>
        <v>0.1578947368</v>
      </c>
      <c r="E6" s="141"/>
      <c r="F6" s="141"/>
      <c r="G6" s="141"/>
      <c r="H6" s="141"/>
      <c r="I6" s="141"/>
      <c r="J6" s="141"/>
      <c r="K6" s="138"/>
      <c r="L6" s="139" t="str">
        <f t="shared" si="7"/>
        <v> Israel %</v>
      </c>
      <c r="M6" s="142">
        <f t="shared" si="8"/>
        <v>0.4117647059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Schreder")</f>
        <v> Schreder</v>
      </c>
      <c r="D10" s="149">
        <v>1.0</v>
      </c>
      <c r="E10" s="150"/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Cashman")</f>
        <v> Cashman</v>
      </c>
      <c r="M10" s="149">
        <v>1.0</v>
      </c>
      <c r="N10" s="154"/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and Matian")</f>
        <v> and Matian</v>
      </c>
      <c r="D11" s="149">
        <v>1.0</v>
      </c>
      <c r="E11" s="154"/>
      <c r="F11" s="151">
        <v>1.0</v>
      </c>
      <c r="G11" s="133"/>
      <c r="H11" s="133"/>
      <c r="I11" s="133"/>
      <c r="J11" s="152"/>
      <c r="K11" s="129">
        <v>1.0</v>
      </c>
      <c r="L11" s="136" t="str">
        <f>IFERROR(__xludf.DUMMYFUNCTION("REGEXEXTRACT(L4, ""( .*)+"")")," Israel")</f>
        <v> Israel</v>
      </c>
      <c r="M11" s="153"/>
      <c r="N11" s="150">
        <v>1.0</v>
      </c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Schreder</v>
      </c>
      <c r="D12" s="153"/>
      <c r="E12" s="150">
        <v>1.0</v>
      </c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Cashman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and Matian</v>
      </c>
      <c r="D13" s="149">
        <v>1.0</v>
      </c>
      <c r="E13" s="154"/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Israel</v>
      </c>
      <c r="M13" s="153"/>
      <c r="N13" s="150">
        <v>1.0</v>
      </c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Schreder</v>
      </c>
      <c r="D14" s="153"/>
      <c r="E14" s="150">
        <v>1.0</v>
      </c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Cashman</v>
      </c>
      <c r="M14" s="153"/>
      <c r="N14" s="150">
        <v>1.0</v>
      </c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and Matian</v>
      </c>
      <c r="D15" s="149">
        <v>1.0</v>
      </c>
      <c r="E15" s="150"/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Israel</v>
      </c>
      <c r="M15" s="149">
        <v>1.0</v>
      </c>
      <c r="N15" s="157"/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Schreder</v>
      </c>
      <c r="D16" s="149">
        <v>1.0</v>
      </c>
      <c r="E16" s="157"/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Cashman</v>
      </c>
      <c r="M16" s="149">
        <v>1.0</v>
      </c>
      <c r="N16" s="157"/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and Matian</v>
      </c>
      <c r="D17" s="149">
        <v>1.0</v>
      </c>
      <c r="E17" s="154"/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Israel</v>
      </c>
      <c r="M17" s="149">
        <v>1.0</v>
      </c>
      <c r="N17" s="154"/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Schreder</v>
      </c>
      <c r="D18" s="149">
        <v>1.0</v>
      </c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Cashman</v>
      </c>
      <c r="M18" s="149">
        <v>1.0</v>
      </c>
      <c r="N18" s="157"/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and Matian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Israel</v>
      </c>
      <c r="M19" s="149">
        <v>1.0</v>
      </c>
      <c r="N19" s="154"/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Schreder</v>
      </c>
      <c r="D20" s="149"/>
      <c r="E20" s="154"/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Cashman</v>
      </c>
      <c r="M20" s="149">
        <v>1.0</v>
      </c>
      <c r="N20" s="157"/>
      <c r="O20" s="151">
        <v>1.0</v>
      </c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and Matian</v>
      </c>
      <c r="D21" s="149"/>
      <c r="E21" s="150">
        <v>1.0</v>
      </c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Israel</v>
      </c>
      <c r="M21" s="149">
        <v>1.0</v>
      </c>
      <c r="N21" s="157"/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Schreder</v>
      </c>
      <c r="D22" s="149">
        <v>1.0</v>
      </c>
      <c r="E22" s="157"/>
      <c r="F22" s="133"/>
      <c r="G22" s="151">
        <v>1.0</v>
      </c>
      <c r="H22" s="133"/>
      <c r="I22" s="133"/>
      <c r="J22" s="152"/>
      <c r="K22" s="129">
        <f t="shared" si="11"/>
        <v>7</v>
      </c>
      <c r="L22" s="156" t="str">
        <f t="shared" si="12"/>
        <v> Cashman</v>
      </c>
      <c r="M22" s="149">
        <v>1.0</v>
      </c>
      <c r="N22" s="157"/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and Matian</v>
      </c>
      <c r="D23" s="149">
        <v>1.0</v>
      </c>
      <c r="E23" s="157"/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Israel</v>
      </c>
      <c r="M23" s="149">
        <v>1.0</v>
      </c>
      <c r="N23" s="157"/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Schreder</v>
      </c>
      <c r="D24" s="149">
        <v>1.0</v>
      </c>
      <c r="E24" s="157"/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Cashman</v>
      </c>
      <c r="M24" s="153"/>
      <c r="N24" s="150">
        <v>1.0</v>
      </c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and Matian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Israel</v>
      </c>
      <c r="M25" s="149">
        <v>1.0</v>
      </c>
      <c r="N25" s="154"/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Schreder</v>
      </c>
      <c r="D26" s="149">
        <v>1.0</v>
      </c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Cashman</v>
      </c>
      <c r="M26" s="149">
        <v>1.0</v>
      </c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and Matian</v>
      </c>
      <c r="D27" s="149">
        <v>1.0</v>
      </c>
      <c r="E27" s="157"/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Israel</v>
      </c>
      <c r="M27" s="149">
        <v>1.0</v>
      </c>
      <c r="N27" s="157"/>
      <c r="O27" s="151">
        <v>1.0</v>
      </c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Schreder</v>
      </c>
      <c r="D28" s="153"/>
      <c r="E28" s="150">
        <v>1.0</v>
      </c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Cashman</v>
      </c>
      <c r="M28" s="149">
        <v>1.0</v>
      </c>
      <c r="N28" s="157"/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and Matian</v>
      </c>
      <c r="D29" s="149">
        <v>1.0</v>
      </c>
      <c r="E29" s="157"/>
      <c r="F29" s="151">
        <v>1.0</v>
      </c>
      <c r="G29" s="133"/>
      <c r="H29" s="133"/>
      <c r="I29" s="133"/>
      <c r="J29" s="152"/>
      <c r="K29" s="135">
        <f t="shared" si="11"/>
        <v>10</v>
      </c>
      <c r="L29" s="156" t="str">
        <f t="shared" si="12"/>
        <v> Israel</v>
      </c>
      <c r="M29" s="153"/>
      <c r="N29" s="150">
        <v>1.0</v>
      </c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Schreder</v>
      </c>
      <c r="D30" s="149">
        <v>1.0</v>
      </c>
      <c r="E30" s="157"/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Cashman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and Matian</v>
      </c>
      <c r="D31" s="149">
        <v>1.0</v>
      </c>
      <c r="E31" s="157"/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Israel</v>
      </c>
      <c r="M31" s="158"/>
      <c r="N31" s="150">
        <v>1.0</v>
      </c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Schreder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Cashman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and Matian</v>
      </c>
      <c r="D33" s="153"/>
      <c r="E33" s="150">
        <v>1.0</v>
      </c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Israel</v>
      </c>
      <c r="M33" s="149">
        <v>1.0</v>
      </c>
      <c r="N33" s="154"/>
      <c r="O33" s="133"/>
      <c r="P33" s="151">
        <v>1.0</v>
      </c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Schreder</v>
      </c>
      <c r="D34" s="149">
        <v>1.0</v>
      </c>
      <c r="E34" s="157"/>
      <c r="F34" s="151">
        <v>1.0</v>
      </c>
      <c r="G34" s="133"/>
      <c r="H34" s="133"/>
      <c r="I34" s="133"/>
      <c r="J34" s="152"/>
      <c r="K34" s="129">
        <f t="shared" si="11"/>
        <v>13</v>
      </c>
      <c r="L34" s="156" t="str">
        <f t="shared" si="12"/>
        <v> Cashman</v>
      </c>
      <c r="M34" s="149">
        <v>1.0</v>
      </c>
      <c r="N34" s="157"/>
      <c r="O34" s="133"/>
      <c r="P34" s="151">
        <v>1.0</v>
      </c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and Matian</v>
      </c>
      <c r="D35" s="149">
        <v>1.0</v>
      </c>
      <c r="E35" s="157"/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 Israel</v>
      </c>
      <c r="M35" s="149">
        <v>1.0</v>
      </c>
      <c r="N35" s="157"/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Schreder</v>
      </c>
      <c r="D36" s="149">
        <v>1.0</v>
      </c>
      <c r="E36" s="157"/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Cashman</v>
      </c>
      <c r="M36" s="149">
        <v>1.0</v>
      </c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and Matian</v>
      </c>
      <c r="D37" s="149">
        <v>1.0</v>
      </c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Israel</v>
      </c>
      <c r="M37" s="149">
        <v>1.0</v>
      </c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Schreder</v>
      </c>
      <c r="D38" s="149">
        <v>1.0</v>
      </c>
      <c r="E38" s="157"/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Cashman</v>
      </c>
      <c r="M38" s="149">
        <v>1.0</v>
      </c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and Matian</v>
      </c>
      <c r="D39" s="149">
        <v>1.0</v>
      </c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Israel</v>
      </c>
      <c r="M39" s="153"/>
      <c r="N39" s="150">
        <v>1.0</v>
      </c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Schreder</v>
      </c>
      <c r="D40" s="159"/>
      <c r="E40" s="160">
        <v>1.0</v>
      </c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Cashman</v>
      </c>
      <c r="M40" s="149">
        <v>1.0</v>
      </c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and Matian</v>
      </c>
      <c r="D41" s="159">
        <v>1.0</v>
      </c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Israel</v>
      </c>
      <c r="M41" s="158"/>
      <c r="N41" s="150">
        <v>1.0</v>
      </c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Schreder</v>
      </c>
      <c r="D42" s="159"/>
      <c r="E42" s="160">
        <v>1.0</v>
      </c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Cashman</v>
      </c>
      <c r="M42" s="153"/>
      <c r="N42" s="150">
        <v>1.0</v>
      </c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and Matian</v>
      </c>
      <c r="D43" s="159">
        <v>1.0</v>
      </c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Israel</v>
      </c>
      <c r="M43" s="159"/>
      <c r="N43" s="160">
        <v>1.0</v>
      </c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Schreder</v>
      </c>
      <c r="D44" s="159">
        <v>1.0</v>
      </c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Cashman</v>
      </c>
      <c r="M44" s="159"/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and Matian</v>
      </c>
      <c r="D45" s="159"/>
      <c r="E45" s="160">
        <v>1.0</v>
      </c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Israel</v>
      </c>
      <c r="M45" s="159"/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Schreder</v>
      </c>
      <c r="D46" s="159"/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Cashman</v>
      </c>
      <c r="M46" s="159"/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and Matian</v>
      </c>
      <c r="D47" s="159">
        <v>1.0</v>
      </c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Israel</v>
      </c>
      <c r="M47" s="159"/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Schreder</v>
      </c>
      <c r="D48" s="159"/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Cashman</v>
      </c>
      <c r="M48" s="162"/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and Matian</v>
      </c>
      <c r="D49" s="162"/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Israel</v>
      </c>
      <c r="M49" s="159"/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Schreder</v>
      </c>
      <c r="D50" s="159"/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Cashman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and Matian</v>
      </c>
      <c r="D51" s="159"/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Israel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Schreder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Cashman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and Matian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Israel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Schreder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Cashman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and Matian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Israel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Schreder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Cashman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and Matian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Israel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Schreder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Cashman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and Matian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Israel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Schreder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Cashman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and Matian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Israel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Schreder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Cashman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and Matian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Israel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Schreder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Cashman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and Matian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Israel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Schreder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Cashman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and Matian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Israel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Schreder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Cashman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and Matian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Israel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Schreder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Cashman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and Matian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Israel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Schreder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Cashman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and Matian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Israel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Schreder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Cashman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and Matian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Israel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Schreder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Cashman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and Matian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Israel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Schreder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Cashman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and Matian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Israel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Schreder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Cashman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and Matian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Israel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Schreder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Cashman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and Matian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Israel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Schreder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Cashman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and Matian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Israel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Schreder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Cashman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and Matian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Israel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Schreder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Cashman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and Matian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Israel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112</v>
      </c>
      <c r="D3" s="128">
        <f t="shared" ref="D3:J3" si="1">SUMPRODUCT(D10:D90,MOD(ROW(D10:D90),2)=0)</f>
        <v>22</v>
      </c>
      <c r="E3" s="128">
        <f t="shared" si="1"/>
        <v>7</v>
      </c>
      <c r="F3" s="128">
        <f t="shared" si="1"/>
        <v>0</v>
      </c>
      <c r="G3" s="128">
        <f t="shared" si="1"/>
        <v>0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129</v>
      </c>
      <c r="M3" s="128">
        <f t="shared" ref="M3:S3" si="2">SUMPRODUCT(M10:M90,MOD(ROW(M10:M90),2)=0)</f>
        <v>23</v>
      </c>
      <c r="N3" s="128">
        <f t="shared" si="2"/>
        <v>6</v>
      </c>
      <c r="O3" s="128">
        <f t="shared" si="2"/>
        <v>0</v>
      </c>
      <c r="P3" s="128">
        <f t="shared" si="2"/>
        <v>0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94</v>
      </c>
      <c r="D4" s="133">
        <f t="shared" ref="D4:J4" si="3">SUMPRODUCT(D10:D90,MOD(ROW(D10:D90),2))</f>
        <v>27</v>
      </c>
      <c r="E4" s="133">
        <f t="shared" si="3"/>
        <v>2</v>
      </c>
      <c r="F4" s="133">
        <f t="shared" si="3"/>
        <v>0</v>
      </c>
      <c r="G4" s="133">
        <f t="shared" si="3"/>
        <v>0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130</v>
      </c>
      <c r="M4" s="133">
        <f t="shared" ref="M4:S4" si="4">SUMPRODUCT(M10:M90,MOD(ROW(M10:M90),2))</f>
        <v>24</v>
      </c>
      <c r="N4" s="133">
        <f t="shared" si="4"/>
        <v>4</v>
      </c>
      <c r="O4" s="133">
        <f t="shared" si="4"/>
        <v>0</v>
      </c>
      <c r="P4" s="133">
        <f t="shared" si="4"/>
        <v>0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Tate %</v>
      </c>
      <c r="D5" s="137">
        <f t="shared" ref="D5:D6" si="6">IFERROR((E3/(E3+D3)),0)</f>
        <v>0.2413793103</v>
      </c>
      <c r="K5" s="135"/>
      <c r="L5" s="136" t="str">
        <f t="shared" ref="L5:L6" si="7">IFERROR((L10 &amp;" %"), "")</f>
        <v> Bashour %</v>
      </c>
      <c r="M5" s="137">
        <f t="shared" ref="M5:M6" si="8">IFERROR((N3/(N3+M3)),0)</f>
        <v>0.2068965517</v>
      </c>
      <c r="S5" s="132"/>
      <c r="T5" s="132"/>
      <c r="U5" s="7"/>
    </row>
    <row r="6">
      <c r="A6" s="14"/>
      <c r="B6" s="138"/>
      <c r="C6" s="139" t="str">
        <f t="shared" si="5"/>
        <v> Pearlmutter %</v>
      </c>
      <c r="D6" s="140">
        <f t="shared" si="6"/>
        <v>0.06896551724</v>
      </c>
      <c r="E6" s="141"/>
      <c r="F6" s="141"/>
      <c r="G6" s="141"/>
      <c r="H6" s="141"/>
      <c r="I6" s="141"/>
      <c r="J6" s="141"/>
      <c r="K6" s="138"/>
      <c r="L6" s="139" t="str">
        <f t="shared" si="7"/>
        <v> Mullen %</v>
      </c>
      <c r="M6" s="142">
        <f t="shared" si="8"/>
        <v>0.1428571429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Tate")</f>
        <v> Tate</v>
      </c>
      <c r="D10" s="149">
        <v>1.0</v>
      </c>
      <c r="E10" s="150"/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Bashour")</f>
        <v> Bashour</v>
      </c>
      <c r="M10" s="149">
        <v>1.0</v>
      </c>
      <c r="N10" s="154"/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Pearlmutter")</f>
        <v> Pearlmutter</v>
      </c>
      <c r="D11" s="149">
        <v>1.0</v>
      </c>
      <c r="E11" s="154"/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Mullen")</f>
        <v> Mullen</v>
      </c>
      <c r="M11" s="149">
        <v>1.0</v>
      </c>
      <c r="N11" s="154"/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Tate</v>
      </c>
      <c r="D12" s="149">
        <v>1.0</v>
      </c>
      <c r="E12" s="150"/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Bashour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Pearlmutter</v>
      </c>
      <c r="D13" s="149">
        <v>1.0</v>
      </c>
      <c r="E13" s="154"/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Mullen</v>
      </c>
      <c r="M13" s="149">
        <v>1.0</v>
      </c>
      <c r="N13" s="157"/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Tate</v>
      </c>
      <c r="D14" s="153"/>
      <c r="E14" s="150">
        <v>1.0</v>
      </c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Bashour</v>
      </c>
      <c r="M14" s="149">
        <v>1.0</v>
      </c>
      <c r="N14" s="157"/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Pearlmutter</v>
      </c>
      <c r="D15" s="153"/>
      <c r="E15" s="150">
        <v>1.0</v>
      </c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Mullen</v>
      </c>
      <c r="M15" s="153"/>
      <c r="N15" s="150">
        <v>1.0</v>
      </c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Tate</v>
      </c>
      <c r="D16" s="149">
        <v>1.0</v>
      </c>
      <c r="E16" s="157"/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Bashour</v>
      </c>
      <c r="M16" s="149">
        <v>1.0</v>
      </c>
      <c r="N16" s="157"/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Pearlmutter</v>
      </c>
      <c r="D17" s="149">
        <v>1.0</v>
      </c>
      <c r="E17" s="154"/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Mullen</v>
      </c>
      <c r="M17" s="149">
        <v>1.0</v>
      </c>
      <c r="N17" s="154"/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Tate</v>
      </c>
      <c r="D18" s="149">
        <v>1.0</v>
      </c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Bashour</v>
      </c>
      <c r="M18" s="153"/>
      <c r="N18" s="150">
        <v>1.0</v>
      </c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Pearlmutter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Mullen</v>
      </c>
      <c r="M19" s="149">
        <v>1.0</v>
      </c>
      <c r="N19" s="154"/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Tate</v>
      </c>
      <c r="D20" s="149">
        <v>1.0</v>
      </c>
      <c r="E20" s="154"/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Bashour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Pearlmutter</v>
      </c>
      <c r="D21" s="149">
        <v>1.0</v>
      </c>
      <c r="E21" s="157"/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Mullen</v>
      </c>
      <c r="M21" s="149">
        <v>1.0</v>
      </c>
      <c r="N21" s="157"/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Tate</v>
      </c>
      <c r="D22" s="153"/>
      <c r="E22" s="150">
        <v>1.0</v>
      </c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 Bashour</v>
      </c>
      <c r="M22" s="149">
        <v>1.0</v>
      </c>
      <c r="N22" s="157"/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Pearlmutter</v>
      </c>
      <c r="D23" s="149">
        <v>1.0</v>
      </c>
      <c r="E23" s="157"/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Mullen</v>
      </c>
      <c r="M23" s="149">
        <v>1.0</v>
      </c>
      <c r="N23" s="157"/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Tate</v>
      </c>
      <c r="D24" s="153"/>
      <c r="E24" s="150">
        <v>1.0</v>
      </c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Bashour</v>
      </c>
      <c r="M24" s="153"/>
      <c r="N24" s="150">
        <v>1.0</v>
      </c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Pearlmutter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Mullen</v>
      </c>
      <c r="M25" s="149">
        <v>1.0</v>
      </c>
      <c r="N25" s="154"/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Tate</v>
      </c>
      <c r="D26" s="149">
        <v>1.0</v>
      </c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Bashour</v>
      </c>
      <c r="M26" s="149">
        <v>1.0</v>
      </c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Pearlmutter</v>
      </c>
      <c r="D27" s="153"/>
      <c r="E27" s="150">
        <v>1.0</v>
      </c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Mullen</v>
      </c>
      <c r="M27" s="153"/>
      <c r="N27" s="150">
        <v>1.0</v>
      </c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Tate</v>
      </c>
      <c r="D28" s="149">
        <v>1.0</v>
      </c>
      <c r="E28" s="157"/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Bashour</v>
      </c>
      <c r="M28" s="149">
        <v>1.0</v>
      </c>
      <c r="N28" s="157"/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Pearlmutter</v>
      </c>
      <c r="D29" s="149">
        <v>1.0</v>
      </c>
      <c r="E29" s="157"/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Mullen</v>
      </c>
      <c r="M29" s="149">
        <v>1.0</v>
      </c>
      <c r="N29" s="157"/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Tate</v>
      </c>
      <c r="D30" s="149">
        <v>1.0</v>
      </c>
      <c r="E30" s="157"/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Bashour</v>
      </c>
      <c r="M30" s="153"/>
      <c r="N30" s="150">
        <v>1.0</v>
      </c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Pearlmutter</v>
      </c>
      <c r="D31" s="149">
        <v>1.0</v>
      </c>
      <c r="E31" s="157"/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Mullen</v>
      </c>
      <c r="M31" s="149">
        <v>1.0</v>
      </c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Tate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Bashour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Pearlmutter</v>
      </c>
      <c r="D33" s="149">
        <v>1.0</v>
      </c>
      <c r="E33" s="157"/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Mullen</v>
      </c>
      <c r="M33" s="149">
        <v>1.0</v>
      </c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Tate</v>
      </c>
      <c r="D34" s="153"/>
      <c r="E34" s="150">
        <v>1.0</v>
      </c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Bashour</v>
      </c>
      <c r="M34" s="149">
        <v>1.0</v>
      </c>
      <c r="N34" s="157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Pearlmutter</v>
      </c>
      <c r="D35" s="149">
        <v>1.0</v>
      </c>
      <c r="E35" s="157"/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 Mullen</v>
      </c>
      <c r="M35" s="149">
        <v>1.0</v>
      </c>
      <c r="N35" s="157"/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Tate</v>
      </c>
      <c r="D36" s="153"/>
      <c r="E36" s="150">
        <v>1.0</v>
      </c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Bashour</v>
      </c>
      <c r="M36" s="149">
        <v>1.0</v>
      </c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Pearlmutter</v>
      </c>
      <c r="D37" s="149">
        <v>1.0</v>
      </c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Mullen</v>
      </c>
      <c r="M37" s="149">
        <v>1.0</v>
      </c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Tate</v>
      </c>
      <c r="D38" s="149">
        <v>1.0</v>
      </c>
      <c r="E38" s="157"/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Bashour</v>
      </c>
      <c r="M38" s="149">
        <v>1.0</v>
      </c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Pearlmutter</v>
      </c>
      <c r="D39" s="149">
        <v>1.0</v>
      </c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Mullen</v>
      </c>
      <c r="M39" s="149">
        <v>1.0</v>
      </c>
      <c r="N39" s="157"/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Tate</v>
      </c>
      <c r="D40" s="159"/>
      <c r="E40" s="160">
        <v>1.0</v>
      </c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Bashour</v>
      </c>
      <c r="M40" s="149">
        <v>1.0</v>
      </c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Pearlmutter</v>
      </c>
      <c r="D41" s="159">
        <v>1.0</v>
      </c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Mullen</v>
      </c>
      <c r="M41" s="149">
        <v>1.0</v>
      </c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Tate</v>
      </c>
      <c r="D42" s="159">
        <v>1.0</v>
      </c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Bashour</v>
      </c>
      <c r="M42" s="149">
        <v>1.0</v>
      </c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Pearlmutter</v>
      </c>
      <c r="D43" s="159">
        <v>1.0</v>
      </c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Mullen</v>
      </c>
      <c r="M43" s="159">
        <v>1.0</v>
      </c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Tate</v>
      </c>
      <c r="D44" s="159">
        <v>1.0</v>
      </c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Bashour</v>
      </c>
      <c r="M44" s="159">
        <v>1.0</v>
      </c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Pearlmutter</v>
      </c>
      <c r="D45" s="159">
        <v>1.0</v>
      </c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Mullen</v>
      </c>
      <c r="M45" s="159">
        <v>1.0</v>
      </c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Tate</v>
      </c>
      <c r="D46" s="159">
        <v>1.0</v>
      </c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Bashour</v>
      </c>
      <c r="M46" s="159"/>
      <c r="N46" s="160">
        <v>1.0</v>
      </c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Pearlmutter</v>
      </c>
      <c r="D47" s="159">
        <v>1.0</v>
      </c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Mullen</v>
      </c>
      <c r="M47" s="159">
        <v>1.0</v>
      </c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Tate</v>
      </c>
      <c r="D48" s="159">
        <v>1.0</v>
      </c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Bashour</v>
      </c>
      <c r="M48" s="162"/>
      <c r="N48" s="160">
        <v>1.0</v>
      </c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Pearlmutter</v>
      </c>
      <c r="D49" s="159">
        <v>1.0</v>
      </c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Mullen</v>
      </c>
      <c r="M49" s="159">
        <v>1.0</v>
      </c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Tate</v>
      </c>
      <c r="D50" s="159">
        <v>1.0</v>
      </c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Bashour</v>
      </c>
      <c r="M50" s="159">
        <v>1.0</v>
      </c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Pearlmutter</v>
      </c>
      <c r="D51" s="159">
        <v>1.0</v>
      </c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Mullen</v>
      </c>
      <c r="M51" s="159">
        <v>1.0</v>
      </c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Tate</v>
      </c>
      <c r="D52" s="159">
        <v>1.0</v>
      </c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Bashour</v>
      </c>
      <c r="M52" s="159">
        <v>1.0</v>
      </c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Pearlmutter</v>
      </c>
      <c r="D53" s="159">
        <v>1.0</v>
      </c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Mullen</v>
      </c>
      <c r="M53" s="159">
        <v>1.0</v>
      </c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Tate</v>
      </c>
      <c r="D54" s="159">
        <v>1.0</v>
      </c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Bashour</v>
      </c>
      <c r="M54" s="159">
        <v>1.0</v>
      </c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Pearlmutter</v>
      </c>
      <c r="D55" s="159">
        <v>1.0</v>
      </c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Mullen</v>
      </c>
      <c r="M55" s="162"/>
      <c r="N55" s="160">
        <v>1.0</v>
      </c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Tate</v>
      </c>
      <c r="D56" s="159">
        <v>1.0</v>
      </c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Bashour</v>
      </c>
      <c r="M56" s="159">
        <v>1.0</v>
      </c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Pearlmutter</v>
      </c>
      <c r="D57" s="159">
        <v>1.0</v>
      </c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Mullen</v>
      </c>
      <c r="M57" s="162"/>
      <c r="N57" s="160">
        <v>1.0</v>
      </c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Tate</v>
      </c>
      <c r="D58" s="159">
        <v>1.0</v>
      </c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Bashour</v>
      </c>
      <c r="M58" s="159">
        <v>1.0</v>
      </c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Pearlmutter</v>
      </c>
      <c r="D59" s="159">
        <v>1.0</v>
      </c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Mullen</v>
      </c>
      <c r="M59" s="159">
        <v>1.0</v>
      </c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Tate</v>
      </c>
      <c r="D60" s="162"/>
      <c r="E60" s="160">
        <v>1.0</v>
      </c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Bashour</v>
      </c>
      <c r="M60" s="159">
        <v>1.0</v>
      </c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Pearlmutter</v>
      </c>
      <c r="D61" s="159">
        <v>1.0</v>
      </c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Mullen</v>
      </c>
      <c r="M61" s="159">
        <v>1.0</v>
      </c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Tate</v>
      </c>
      <c r="D62" s="159">
        <v>1.0</v>
      </c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Bashour</v>
      </c>
      <c r="M62" s="159">
        <v>1.0</v>
      </c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Pearlmutter</v>
      </c>
      <c r="D63" s="159">
        <v>1.0</v>
      </c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Mullen</v>
      </c>
      <c r="M63" s="159">
        <v>1.0</v>
      </c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Tate</v>
      </c>
      <c r="D64" s="159">
        <v>1.0</v>
      </c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Bashour</v>
      </c>
      <c r="M64" s="159">
        <v>1.0</v>
      </c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Pearlmutter</v>
      </c>
      <c r="D65" s="159">
        <v>1.0</v>
      </c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Mullen</v>
      </c>
      <c r="M65" s="159">
        <v>1.0</v>
      </c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Tate</v>
      </c>
      <c r="D66" s="159">
        <v>1.0</v>
      </c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Bashour</v>
      </c>
      <c r="M66" s="162"/>
      <c r="N66" s="160">
        <v>1.0</v>
      </c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Pearlmutter</v>
      </c>
      <c r="D67" s="159">
        <v>1.0</v>
      </c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Mullen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Tate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Bashour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Pearlmutter</v>
      </c>
      <c r="D69" s="159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Mullen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Tate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Bashour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Pearlmutter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Mullen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Tate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Bashour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Pearlmutter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Mullen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Tate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Bashour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Pearlmutter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Mullen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Tate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Bashour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Pearlmutter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Mullen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Tate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Bashour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Pearlmutter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Mullen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Tate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Bashour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Pearlmutter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Mullen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Tate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Bashour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Pearlmutter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Mullen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Tate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Bashour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Pearlmutter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Mullen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Tate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Bashour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Pearlmutter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Mullen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Tate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Bashour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Pearlmutter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Mullen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123</v>
      </c>
      <c r="D3" s="128">
        <f t="shared" ref="D3:J3" si="1">SUMPRODUCT(D10:D90,MOD(ROW(D10:D90),2)=0)</f>
        <v>21</v>
      </c>
      <c r="E3" s="128">
        <f t="shared" si="1"/>
        <v>6</v>
      </c>
      <c r="F3" s="128">
        <f t="shared" si="1"/>
        <v>2</v>
      </c>
      <c r="G3" s="128">
        <f t="shared" si="1"/>
        <v>3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82</v>
      </c>
      <c r="M3" s="128">
        <f t="shared" ref="M3:S3" si="2">SUMPRODUCT(M10:M90,MOD(ROW(M10:M90),2)=0)</f>
        <v>20</v>
      </c>
      <c r="N3" s="128">
        <f t="shared" si="2"/>
        <v>9</v>
      </c>
      <c r="O3" s="128">
        <f t="shared" si="2"/>
        <v>0</v>
      </c>
      <c r="P3" s="128">
        <f t="shared" si="2"/>
        <v>2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111</v>
      </c>
      <c r="D4" s="133">
        <f t="shared" ref="D4:J4" si="3">SUMPRODUCT(D10:D90,MOD(ROW(D10:D90),2))</f>
        <v>20</v>
      </c>
      <c r="E4" s="133">
        <f t="shared" si="3"/>
        <v>6</v>
      </c>
      <c r="F4" s="133">
        <f t="shared" si="3"/>
        <v>2</v>
      </c>
      <c r="G4" s="133">
        <f t="shared" si="3"/>
        <v>1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100</v>
      </c>
      <c r="M4" s="133">
        <f t="shared" ref="M4:S4" si="4">SUMPRODUCT(M10:M90,MOD(ROW(M10:M90),2))</f>
        <v>22</v>
      </c>
      <c r="N4" s="133">
        <f t="shared" si="4"/>
        <v>6</v>
      </c>
      <c r="O4" s="133">
        <f t="shared" si="4"/>
        <v>4</v>
      </c>
      <c r="P4" s="133">
        <f t="shared" si="4"/>
        <v>0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Pugliese %</v>
      </c>
      <c r="D5" s="137">
        <f t="shared" ref="D5:D6" si="6">IFERROR((E3/(E3+D3)),0)</f>
        <v>0.2222222222</v>
      </c>
      <c r="K5" s="135"/>
      <c r="L5" s="136" t="str">
        <f t="shared" ref="L5:L6" si="7">IFERROR((L10 &amp;" %"), "")</f>
        <v> Mies %</v>
      </c>
      <c r="M5" s="137">
        <f t="shared" ref="M5:M6" si="8">IFERROR((N3/(N3+M3)),0)</f>
        <v>0.3103448276</v>
      </c>
      <c r="S5" s="132"/>
      <c r="T5" s="132"/>
      <c r="U5" s="7"/>
    </row>
    <row r="6">
      <c r="A6" s="14"/>
      <c r="B6" s="138"/>
      <c r="C6" s="139" t="str">
        <f t="shared" si="5"/>
        <v> Katz %</v>
      </c>
      <c r="D6" s="140">
        <f t="shared" si="6"/>
        <v>0.2307692308</v>
      </c>
      <c r="E6" s="141"/>
      <c r="F6" s="141"/>
      <c r="G6" s="141"/>
      <c r="H6" s="141"/>
      <c r="I6" s="141"/>
      <c r="J6" s="141"/>
      <c r="K6" s="138"/>
      <c r="L6" s="139" t="str">
        <f t="shared" si="7"/>
        <v> Gathy %</v>
      </c>
      <c r="M6" s="142">
        <f t="shared" si="8"/>
        <v>0.2142857143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Pugliese")</f>
        <v> Pugliese</v>
      </c>
      <c r="D10" s="149">
        <v>1.0</v>
      </c>
      <c r="E10" s="150"/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Mies")</f>
        <v> Mies</v>
      </c>
      <c r="M10" s="153"/>
      <c r="N10" s="150">
        <v>1.0</v>
      </c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Katz")</f>
        <v> Katz</v>
      </c>
      <c r="D11" s="149">
        <v>1.0</v>
      </c>
      <c r="E11" s="154"/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Gathy")</f>
        <v> Gathy</v>
      </c>
      <c r="M11" s="153"/>
      <c r="N11" s="150">
        <v>1.0</v>
      </c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Pugliese</v>
      </c>
      <c r="D12" s="149">
        <v>1.0</v>
      </c>
      <c r="E12" s="150"/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Mies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Katz</v>
      </c>
      <c r="D13" s="149">
        <v>1.0</v>
      </c>
      <c r="E13" s="154"/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Gathy</v>
      </c>
      <c r="M13" s="149">
        <v>1.0</v>
      </c>
      <c r="N13" s="157"/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Pugliese</v>
      </c>
      <c r="D14" s="153"/>
      <c r="E14" s="150">
        <v>1.0</v>
      </c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Mies</v>
      </c>
      <c r="M14" s="153"/>
      <c r="N14" s="150">
        <v>1.0</v>
      </c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Katz</v>
      </c>
      <c r="D15" s="149">
        <v>1.0</v>
      </c>
      <c r="E15" s="150"/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Gathy</v>
      </c>
      <c r="M15" s="149">
        <v>1.0</v>
      </c>
      <c r="N15" s="157"/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Pugliese</v>
      </c>
      <c r="D16" s="149">
        <v>1.0</v>
      </c>
      <c r="E16" s="157"/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Mies</v>
      </c>
      <c r="M16" s="149">
        <v>1.0</v>
      </c>
      <c r="N16" s="157"/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Katz</v>
      </c>
      <c r="D17" s="153"/>
      <c r="E17" s="150">
        <v>1.0</v>
      </c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Gathy</v>
      </c>
      <c r="M17" s="158"/>
      <c r="N17" s="150">
        <v>1.0</v>
      </c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Pugliese</v>
      </c>
      <c r="D18" s="149">
        <v>1.0</v>
      </c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Mies</v>
      </c>
      <c r="M18" s="149">
        <v>1.0</v>
      </c>
      <c r="N18" s="157"/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Katz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Gathy</v>
      </c>
      <c r="M19" s="149">
        <v>1.0</v>
      </c>
      <c r="N19" s="154"/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Pugliese</v>
      </c>
      <c r="D20" s="149">
        <v>1.0</v>
      </c>
      <c r="E20" s="154"/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Mies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Katz</v>
      </c>
      <c r="D21" s="149">
        <v>1.0</v>
      </c>
      <c r="E21" s="157"/>
      <c r="F21" s="133"/>
      <c r="G21" s="151">
        <v>1.0</v>
      </c>
      <c r="H21" s="133"/>
      <c r="I21" s="133"/>
      <c r="J21" s="152"/>
      <c r="K21" s="135">
        <f t="shared" si="11"/>
        <v>6</v>
      </c>
      <c r="L21" s="156" t="str">
        <f t="shared" si="12"/>
        <v> Gathy</v>
      </c>
      <c r="M21" s="149">
        <v>1.0</v>
      </c>
      <c r="N21" s="157"/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Pugliese</v>
      </c>
      <c r="D22" s="149">
        <v>1.0</v>
      </c>
      <c r="E22" s="157"/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 Mies</v>
      </c>
      <c r="M22" s="149">
        <v>1.0</v>
      </c>
      <c r="N22" s="157"/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Katz</v>
      </c>
      <c r="D23" s="149">
        <v>1.0</v>
      </c>
      <c r="E23" s="157"/>
      <c r="F23" s="151">
        <v>1.0</v>
      </c>
      <c r="G23" s="133"/>
      <c r="H23" s="133"/>
      <c r="I23" s="133"/>
      <c r="J23" s="152"/>
      <c r="K23" s="135">
        <f t="shared" si="11"/>
        <v>7</v>
      </c>
      <c r="L23" s="156" t="str">
        <f t="shared" si="12"/>
        <v> Gathy</v>
      </c>
      <c r="M23" s="149">
        <v>1.0</v>
      </c>
      <c r="N23" s="157"/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Pugliese</v>
      </c>
      <c r="D24" s="149">
        <v>1.0</v>
      </c>
      <c r="E24" s="157"/>
      <c r="F24" s="133"/>
      <c r="G24" s="151">
        <v>1.0</v>
      </c>
      <c r="H24" s="133"/>
      <c r="I24" s="133"/>
      <c r="J24" s="152"/>
      <c r="K24" s="129">
        <f t="shared" si="11"/>
        <v>8</v>
      </c>
      <c r="L24" s="156" t="str">
        <f t="shared" si="12"/>
        <v> Mies</v>
      </c>
      <c r="M24" s="149">
        <v>1.0</v>
      </c>
      <c r="N24" s="157"/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Katz</v>
      </c>
      <c r="D25" s="153"/>
      <c r="E25" s="150">
        <v>1.0</v>
      </c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Gathy</v>
      </c>
      <c r="M25" s="149">
        <v>1.0</v>
      </c>
      <c r="N25" s="154"/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Pugliese</v>
      </c>
      <c r="D26" s="149">
        <v>1.0</v>
      </c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Mies</v>
      </c>
      <c r="M26" s="149">
        <v>1.0</v>
      </c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Katz</v>
      </c>
      <c r="D27" s="153"/>
      <c r="E27" s="150">
        <v>1.0</v>
      </c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Gathy</v>
      </c>
      <c r="M27" s="149">
        <v>1.0</v>
      </c>
      <c r="N27" s="157"/>
      <c r="O27" s="151">
        <v>1.0</v>
      </c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Pugliese</v>
      </c>
      <c r="D28" s="149">
        <v>1.0</v>
      </c>
      <c r="E28" s="157"/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Mies</v>
      </c>
      <c r="M28" s="153"/>
      <c r="N28" s="150">
        <v>1.0</v>
      </c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Katz</v>
      </c>
      <c r="D29" s="153"/>
      <c r="E29" s="150">
        <v>1.0</v>
      </c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Gathy</v>
      </c>
      <c r="M29" s="149">
        <v>1.0</v>
      </c>
      <c r="N29" s="157"/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Pugliese</v>
      </c>
      <c r="D30" s="153"/>
      <c r="E30" s="150">
        <v>1.0</v>
      </c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Mies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Katz</v>
      </c>
      <c r="D31" s="149">
        <v>1.0</v>
      </c>
      <c r="E31" s="157"/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Gathy</v>
      </c>
      <c r="M31" s="149">
        <v>1.0</v>
      </c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Pugliese</v>
      </c>
      <c r="D32" s="153"/>
      <c r="E32" s="150">
        <v>1.0</v>
      </c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Mies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Katz</v>
      </c>
      <c r="D33" s="149">
        <v>1.0</v>
      </c>
      <c r="E33" s="157"/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Gathy</v>
      </c>
      <c r="M33" s="158"/>
      <c r="N33" s="150">
        <v>1.0</v>
      </c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Pugliese</v>
      </c>
      <c r="D34" s="149">
        <v>1.0</v>
      </c>
      <c r="E34" s="157"/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Mies</v>
      </c>
      <c r="M34" s="153"/>
      <c r="N34" s="150">
        <v>1.0</v>
      </c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Katz</v>
      </c>
      <c r="D35" s="149">
        <v>1.0</v>
      </c>
      <c r="E35" s="157"/>
      <c r="F35" s="151">
        <v>1.0</v>
      </c>
      <c r="G35" s="133"/>
      <c r="H35" s="133"/>
      <c r="I35" s="133"/>
      <c r="J35" s="152"/>
      <c r="K35" s="135">
        <f t="shared" si="11"/>
        <v>13</v>
      </c>
      <c r="L35" s="156" t="str">
        <f t="shared" si="12"/>
        <v> Gathy</v>
      </c>
      <c r="M35" s="153"/>
      <c r="N35" s="150">
        <v>1.0</v>
      </c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Pugliese</v>
      </c>
      <c r="D36" s="149">
        <v>1.0</v>
      </c>
      <c r="E36" s="157"/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Mies</v>
      </c>
      <c r="M36" s="149">
        <v>1.0</v>
      </c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Katz</v>
      </c>
      <c r="D37" s="149">
        <v>1.0</v>
      </c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Gathy</v>
      </c>
      <c r="M37" s="149">
        <v>1.0</v>
      </c>
      <c r="N37" s="150"/>
      <c r="O37" s="151">
        <v>1.0</v>
      </c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Pugliese</v>
      </c>
      <c r="D38" s="153"/>
      <c r="E38" s="150">
        <v>1.0</v>
      </c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Mies</v>
      </c>
      <c r="M38" s="149">
        <v>1.0</v>
      </c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Katz</v>
      </c>
      <c r="D39" s="149">
        <v>1.0</v>
      </c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Gathy</v>
      </c>
      <c r="M39" s="153"/>
      <c r="N39" s="150">
        <v>1.0</v>
      </c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Pugliese</v>
      </c>
      <c r="D40" s="159">
        <v>1.0</v>
      </c>
      <c r="E40" s="160"/>
      <c r="F40" s="151">
        <v>1.0</v>
      </c>
      <c r="G40" s="133"/>
      <c r="H40" s="133"/>
      <c r="I40" s="133"/>
      <c r="J40" s="152"/>
      <c r="K40" s="129">
        <f t="shared" si="11"/>
        <v>16</v>
      </c>
      <c r="L40" s="156" t="str">
        <f t="shared" si="12"/>
        <v> Mies</v>
      </c>
      <c r="M40" s="149">
        <v>1.0</v>
      </c>
      <c r="N40" s="157"/>
      <c r="O40" s="133"/>
      <c r="P40" s="151">
        <v>1.0</v>
      </c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Katz</v>
      </c>
      <c r="D41" s="159">
        <v>1.0</v>
      </c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Gathy</v>
      </c>
      <c r="M41" s="149">
        <v>1.0</v>
      </c>
      <c r="N41" s="154"/>
      <c r="O41" s="151">
        <v>1.0</v>
      </c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Pugliese</v>
      </c>
      <c r="D42" s="159"/>
      <c r="E42" s="160">
        <v>1.0</v>
      </c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Mies</v>
      </c>
      <c r="M42" s="149">
        <v>1.0</v>
      </c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Katz</v>
      </c>
      <c r="D43" s="162"/>
      <c r="E43" s="160">
        <v>1.0</v>
      </c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Gathy</v>
      </c>
      <c r="M43" s="159">
        <v>1.0</v>
      </c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Pugliese</v>
      </c>
      <c r="D44" s="159"/>
      <c r="E44" s="160">
        <v>1.0</v>
      </c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Mies</v>
      </c>
      <c r="M44" s="159">
        <v>1.0</v>
      </c>
      <c r="N44" s="161"/>
      <c r="O44" s="152"/>
      <c r="P44" s="175">
        <v>1.0</v>
      </c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Katz</v>
      </c>
      <c r="D45" s="159">
        <v>1.0</v>
      </c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Gathy</v>
      </c>
      <c r="M45" s="159">
        <v>1.0</v>
      </c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Pugliese</v>
      </c>
      <c r="D46" s="159">
        <v>1.0</v>
      </c>
      <c r="E46" s="161"/>
      <c r="F46" s="151">
        <v>1.0</v>
      </c>
      <c r="G46" s="133"/>
      <c r="H46" s="133"/>
      <c r="I46" s="133"/>
      <c r="J46" s="152"/>
      <c r="K46" s="135">
        <f t="shared" si="11"/>
        <v>19</v>
      </c>
      <c r="L46" s="156" t="str">
        <f t="shared" si="12"/>
        <v> Mies</v>
      </c>
      <c r="M46" s="159"/>
      <c r="N46" s="160">
        <v>1.0</v>
      </c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Katz</v>
      </c>
      <c r="D47" s="159">
        <v>1.0</v>
      </c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Gathy</v>
      </c>
      <c r="M47" s="159">
        <v>1.0</v>
      </c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Pugliese</v>
      </c>
      <c r="D48" s="159">
        <v>1.0</v>
      </c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Mies</v>
      </c>
      <c r="M48" s="159">
        <v>1.0</v>
      </c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Katz</v>
      </c>
      <c r="D49" s="159">
        <v>1.0</v>
      </c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Gathy</v>
      </c>
      <c r="M49" s="159">
        <v>1.0</v>
      </c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Pugliese</v>
      </c>
      <c r="D50" s="159">
        <v>1.0</v>
      </c>
      <c r="E50" s="161"/>
      <c r="F50" s="133"/>
      <c r="G50" s="151">
        <v>1.0</v>
      </c>
      <c r="H50" s="133"/>
      <c r="I50" s="133"/>
      <c r="J50" s="152"/>
      <c r="K50" s="129">
        <f t="shared" si="11"/>
        <v>21</v>
      </c>
      <c r="L50" s="156" t="str">
        <f t="shared" si="12"/>
        <v> Mies</v>
      </c>
      <c r="M50" s="159">
        <v>1.0</v>
      </c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Katz</v>
      </c>
      <c r="D51" s="159">
        <v>1.0</v>
      </c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Gathy</v>
      </c>
      <c r="M51" s="159">
        <v>1.0</v>
      </c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Pugliese</v>
      </c>
      <c r="D52" s="159">
        <v>1.0</v>
      </c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Mies</v>
      </c>
      <c r="M52" s="159">
        <v>1.0</v>
      </c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Katz</v>
      </c>
      <c r="D53" s="159">
        <v>1.0</v>
      </c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Gathy</v>
      </c>
      <c r="M53" s="159">
        <v>1.0</v>
      </c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Pugliese</v>
      </c>
      <c r="D54" s="159">
        <v>1.0</v>
      </c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Mies</v>
      </c>
      <c r="M54" s="159">
        <v>1.0</v>
      </c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Katz</v>
      </c>
      <c r="D55" s="159">
        <v>1.0</v>
      </c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Gathy</v>
      </c>
      <c r="M55" s="159">
        <v>1.0</v>
      </c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Pugliese</v>
      </c>
      <c r="D56" s="159">
        <v>1.0</v>
      </c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Mies</v>
      </c>
      <c r="M56" s="162"/>
      <c r="N56" s="160">
        <v>1.0</v>
      </c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Katz</v>
      </c>
      <c r="D57" s="159">
        <v>1.0</v>
      </c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Gathy</v>
      </c>
      <c r="M57" s="159">
        <v>1.0</v>
      </c>
      <c r="N57" s="161"/>
      <c r="O57" s="175">
        <v>1.0</v>
      </c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Pugliese</v>
      </c>
      <c r="D58" s="159">
        <v>1.0</v>
      </c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Mies</v>
      </c>
      <c r="M58" s="162"/>
      <c r="N58" s="160">
        <v>1.0</v>
      </c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Katz</v>
      </c>
      <c r="D59" s="162"/>
      <c r="E59" s="160">
        <v>1.0</v>
      </c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Gathy</v>
      </c>
      <c r="M59" s="159">
        <v>1.0</v>
      </c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Pugliese</v>
      </c>
      <c r="D60" s="159">
        <v>1.0</v>
      </c>
      <c r="E60" s="161"/>
      <c r="F60" s="152"/>
      <c r="G60" s="175">
        <v>1.0</v>
      </c>
      <c r="H60" s="152"/>
      <c r="I60" s="152"/>
      <c r="J60" s="152"/>
      <c r="K60" s="135">
        <f t="shared" si="11"/>
        <v>26</v>
      </c>
      <c r="L60" s="156" t="str">
        <f t="shared" si="12"/>
        <v> Mies</v>
      </c>
      <c r="M60" s="159">
        <v>1.0</v>
      </c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Katz</v>
      </c>
      <c r="D61" s="159">
        <v>1.0</v>
      </c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Gathy</v>
      </c>
      <c r="M61" s="159">
        <v>1.0</v>
      </c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Pugliese</v>
      </c>
      <c r="D62" s="159">
        <v>1.0</v>
      </c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Mies</v>
      </c>
      <c r="M62" s="159">
        <v>1.0</v>
      </c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Katz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Gathy</v>
      </c>
      <c r="M63" s="159">
        <v>1.0</v>
      </c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Pugliese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Mies</v>
      </c>
      <c r="M64" s="162"/>
      <c r="N64" s="160">
        <v>1.0</v>
      </c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Katz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Gathy</v>
      </c>
      <c r="M65" s="162"/>
      <c r="N65" s="160">
        <v>1.0</v>
      </c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Pugliese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Mies</v>
      </c>
      <c r="M66" s="162"/>
      <c r="N66" s="160">
        <v>1.0</v>
      </c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Katz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Gathy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Pugliese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Mies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Katz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Gathy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Pugliese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Mies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Katz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Gathy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Pugliese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Mies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Katz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Gathy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Pugliese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Mies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Katz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Gathy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Pugliese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Mies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Katz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Gathy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Pugliese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Mies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Katz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Gathy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Pugliese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Mies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Katz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Gathy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Pugliese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Mies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Katz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Gathy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Pugliese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Mies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Katz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Gathy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Pugliese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Mies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Katz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Gathy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Pugliese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Mies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Katz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Gathy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84</v>
      </c>
      <c r="D3" s="128">
        <f t="shared" ref="D3:J3" si="1">SUMPRODUCT(D10:D90,MOD(ROW(D10:D90),2)=0)</f>
        <v>8</v>
      </c>
      <c r="E3" s="128">
        <f t="shared" si="1"/>
        <v>8</v>
      </c>
      <c r="F3" s="128">
        <f t="shared" si="1"/>
        <v>2</v>
      </c>
      <c r="G3" s="128">
        <f t="shared" si="1"/>
        <v>1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137</v>
      </c>
      <c r="M3" s="128">
        <f t="shared" ref="M3:S3" si="2">SUMPRODUCT(M10:M90,MOD(ROW(M10:M90),2)=0)</f>
        <v>17</v>
      </c>
      <c r="N3" s="128">
        <f t="shared" si="2"/>
        <v>2</v>
      </c>
      <c r="O3" s="128">
        <f t="shared" si="2"/>
        <v>0</v>
      </c>
      <c r="P3" s="128">
        <f t="shared" si="2"/>
        <v>2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121</v>
      </c>
      <c r="D4" s="133">
        <f t="shared" ref="D4:J4" si="3">SUMPRODUCT(D10:D90,MOD(ROW(D10:D90),2))</f>
        <v>14</v>
      </c>
      <c r="E4" s="133">
        <f t="shared" si="3"/>
        <v>2</v>
      </c>
      <c r="F4" s="133">
        <f t="shared" si="3"/>
        <v>1</v>
      </c>
      <c r="G4" s="133">
        <f t="shared" si="3"/>
        <v>1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75</v>
      </c>
      <c r="M4" s="133">
        <f t="shared" ref="M4:S4" si="4">SUMPRODUCT(M10:M90,MOD(ROW(M10:M90),2))</f>
        <v>12</v>
      </c>
      <c r="N4" s="133">
        <f t="shared" si="4"/>
        <v>7</v>
      </c>
      <c r="O4" s="133">
        <f t="shared" si="4"/>
        <v>1</v>
      </c>
      <c r="P4" s="133">
        <f t="shared" si="4"/>
        <v>2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Kulkarni %</v>
      </c>
      <c r="D5" s="137">
        <f t="shared" ref="D5:D6" si="6">IFERROR((E3/(E3+D3)),0)</f>
        <v>0.5</v>
      </c>
      <c r="K5" s="135"/>
      <c r="L5" s="136" t="str">
        <f t="shared" ref="L5:L6" si="7">IFERROR((L10 &amp;" %"), "")</f>
        <v> Mann %</v>
      </c>
      <c r="M5" s="137">
        <f t="shared" ref="M5:M6" si="8">IFERROR((N3/(N3+M3)),0)</f>
        <v>0.1052631579</v>
      </c>
      <c r="S5" s="132"/>
      <c r="T5" s="132"/>
      <c r="U5" s="7"/>
    </row>
    <row r="6">
      <c r="A6" s="14"/>
      <c r="B6" s="138"/>
      <c r="C6" s="139" t="str">
        <f t="shared" si="5"/>
        <v> Byrne %</v>
      </c>
      <c r="D6" s="140">
        <f t="shared" si="6"/>
        <v>0.125</v>
      </c>
      <c r="E6" s="141"/>
      <c r="F6" s="141"/>
      <c r="G6" s="141"/>
      <c r="H6" s="141"/>
      <c r="I6" s="141"/>
      <c r="J6" s="141"/>
      <c r="K6" s="138"/>
      <c r="L6" s="139" t="str">
        <f t="shared" si="7"/>
        <v> Wilson %</v>
      </c>
      <c r="M6" s="142">
        <f t="shared" si="8"/>
        <v>0.3684210526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Kulkarni")</f>
        <v> Kulkarni</v>
      </c>
      <c r="D10" s="149"/>
      <c r="E10" s="150">
        <v>1.0</v>
      </c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Mann")</f>
        <v> Mann</v>
      </c>
      <c r="M10" s="149">
        <v>1.0</v>
      </c>
      <c r="N10" s="154"/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Byrne")</f>
        <v> Byrne</v>
      </c>
      <c r="D11" s="149">
        <v>1.0</v>
      </c>
      <c r="E11" s="154"/>
      <c r="F11" s="151">
        <v>1.0</v>
      </c>
      <c r="G11" s="133"/>
      <c r="H11" s="133"/>
      <c r="I11" s="133"/>
      <c r="J11" s="152"/>
      <c r="K11" s="129">
        <v>1.0</v>
      </c>
      <c r="L11" s="136" t="str">
        <f>IFERROR(__xludf.DUMMYFUNCTION("REGEXEXTRACT(L4, ""( .*)+"")")," Wilson")</f>
        <v> Wilson</v>
      </c>
      <c r="M11" s="153"/>
      <c r="N11" s="150">
        <v>1.0</v>
      </c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Kulkarni</v>
      </c>
      <c r="D12" s="149">
        <v>1.0</v>
      </c>
      <c r="E12" s="150"/>
      <c r="F12" s="151">
        <v>1.0</v>
      </c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Mann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Byrne</v>
      </c>
      <c r="D13" s="149">
        <v>1.0</v>
      </c>
      <c r="E13" s="154"/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Wilson</v>
      </c>
      <c r="M13" s="149">
        <v>1.0</v>
      </c>
      <c r="N13" s="157"/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Kulkarni</v>
      </c>
      <c r="D14" s="153"/>
      <c r="E14" s="150">
        <v>1.0</v>
      </c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Mann</v>
      </c>
      <c r="M14" s="149">
        <v>1.0</v>
      </c>
      <c r="N14" s="157"/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Byrne</v>
      </c>
      <c r="D15" s="149">
        <v>1.0</v>
      </c>
      <c r="E15" s="150"/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Wilson</v>
      </c>
      <c r="M15" s="153"/>
      <c r="N15" s="150">
        <v>1.0</v>
      </c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Kulkarni</v>
      </c>
      <c r="D16" s="149">
        <v>1.0</v>
      </c>
      <c r="E16" s="157"/>
      <c r="F16" s="151">
        <v>1.0</v>
      </c>
      <c r="G16" s="133"/>
      <c r="H16" s="133"/>
      <c r="I16" s="133"/>
      <c r="J16" s="152"/>
      <c r="K16" s="129">
        <f t="shared" si="11"/>
        <v>4</v>
      </c>
      <c r="L16" s="156" t="str">
        <f t="shared" si="12"/>
        <v> Mann</v>
      </c>
      <c r="M16" s="149">
        <v>1.0</v>
      </c>
      <c r="N16" s="157"/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Byrne</v>
      </c>
      <c r="D17" s="153"/>
      <c r="E17" s="150">
        <v>1.0</v>
      </c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Wilson</v>
      </c>
      <c r="M17" s="149">
        <v>1.0</v>
      </c>
      <c r="N17" s="154"/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Kulkarni</v>
      </c>
      <c r="D18" s="153"/>
      <c r="E18" s="150">
        <v>1.0</v>
      </c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Mann</v>
      </c>
      <c r="M18" s="149">
        <v>1.0</v>
      </c>
      <c r="N18" s="157"/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Byrne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Wilson</v>
      </c>
      <c r="M19" s="149">
        <v>1.0</v>
      </c>
      <c r="N19" s="154"/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Kulkarni</v>
      </c>
      <c r="D20" s="158"/>
      <c r="E20" s="150">
        <v>1.0</v>
      </c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Mann</v>
      </c>
      <c r="M20" s="153"/>
      <c r="N20" s="150">
        <v>1.0</v>
      </c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Byrne</v>
      </c>
      <c r="D21" s="149">
        <v>1.0</v>
      </c>
      <c r="E21" s="157"/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Wilson</v>
      </c>
      <c r="M21" s="153"/>
      <c r="N21" s="150">
        <v>1.0</v>
      </c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Kulkarni</v>
      </c>
      <c r="D22" s="149">
        <v>1.0</v>
      </c>
      <c r="E22" s="157"/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 Mann</v>
      </c>
      <c r="M22" s="149">
        <v>1.0</v>
      </c>
      <c r="N22" s="157"/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Byrne</v>
      </c>
      <c r="D23" s="149">
        <v>1.0</v>
      </c>
      <c r="E23" s="157"/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Wilson</v>
      </c>
      <c r="M23" s="153"/>
      <c r="N23" s="150">
        <v>1.0</v>
      </c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Kulkarni</v>
      </c>
      <c r="D24" s="153"/>
      <c r="E24" s="150">
        <v>1.0</v>
      </c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Mann</v>
      </c>
      <c r="M24" s="149">
        <v>1.0</v>
      </c>
      <c r="N24" s="157"/>
      <c r="O24" s="133"/>
      <c r="P24" s="151">
        <v>1.0</v>
      </c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Byrne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Wilson</v>
      </c>
      <c r="M25" s="158"/>
      <c r="N25" s="150">
        <v>1.0</v>
      </c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Kulkarni</v>
      </c>
      <c r="D26" s="149">
        <v>1.0</v>
      </c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Mann</v>
      </c>
      <c r="M26" s="149">
        <v>1.0</v>
      </c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Byrne</v>
      </c>
      <c r="D27" s="153"/>
      <c r="E27" s="150">
        <v>1.0</v>
      </c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Wilson</v>
      </c>
      <c r="M27" s="149">
        <v>1.0</v>
      </c>
      <c r="N27" s="157"/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Kulkarni</v>
      </c>
      <c r="D28" s="153"/>
      <c r="E28" s="150">
        <v>1.0</v>
      </c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Mann</v>
      </c>
      <c r="M28" s="149">
        <v>1.0</v>
      </c>
      <c r="N28" s="157"/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Byrne</v>
      </c>
      <c r="D29" s="149">
        <v>1.0</v>
      </c>
      <c r="E29" s="157"/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Wilson</v>
      </c>
      <c r="M29" s="149">
        <v>1.0</v>
      </c>
      <c r="N29" s="157"/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Kulkarni</v>
      </c>
      <c r="D30" s="153"/>
      <c r="E30" s="150">
        <v>1.0</v>
      </c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Mann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Byrne</v>
      </c>
      <c r="D31" s="149">
        <v>1.0</v>
      </c>
      <c r="E31" s="157"/>
      <c r="F31" s="133"/>
      <c r="G31" s="151">
        <v>1.0</v>
      </c>
      <c r="H31" s="133"/>
      <c r="I31" s="133"/>
      <c r="J31" s="152"/>
      <c r="K31" s="135">
        <f t="shared" si="11"/>
        <v>11</v>
      </c>
      <c r="L31" s="156" t="str">
        <f t="shared" si="12"/>
        <v> Wilson</v>
      </c>
      <c r="M31" s="149">
        <v>1.0</v>
      </c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Kulkarni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Mann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Byrne</v>
      </c>
      <c r="D33" s="149">
        <v>1.0</v>
      </c>
      <c r="E33" s="157"/>
      <c r="F33" s="133"/>
      <c r="G33" s="151"/>
      <c r="H33" s="133"/>
      <c r="I33" s="133"/>
      <c r="J33" s="152"/>
      <c r="K33" s="135">
        <f t="shared" si="11"/>
        <v>12</v>
      </c>
      <c r="L33" s="156" t="str">
        <f t="shared" si="12"/>
        <v> Wilson</v>
      </c>
      <c r="M33" s="149">
        <v>1.0</v>
      </c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Kulkarni</v>
      </c>
      <c r="D34" s="149">
        <v>1.0</v>
      </c>
      <c r="E34" s="157"/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Mann</v>
      </c>
      <c r="M34" s="149">
        <v>1.0</v>
      </c>
      <c r="N34" s="157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Byrne</v>
      </c>
      <c r="D35" s="149">
        <v>1.0</v>
      </c>
      <c r="E35" s="157"/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 Wilson</v>
      </c>
      <c r="M35" s="149">
        <v>1.0</v>
      </c>
      <c r="N35" s="157"/>
      <c r="O35" s="151">
        <v>1.0</v>
      </c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Kulkarni</v>
      </c>
      <c r="D36" s="149">
        <v>1.0</v>
      </c>
      <c r="E36" s="157"/>
      <c r="F36" s="133"/>
      <c r="G36" s="151">
        <v>1.0</v>
      </c>
      <c r="H36" s="133"/>
      <c r="I36" s="133"/>
      <c r="J36" s="152"/>
      <c r="K36" s="129">
        <f t="shared" si="11"/>
        <v>14</v>
      </c>
      <c r="L36" s="156" t="str">
        <f t="shared" si="12"/>
        <v> Mann</v>
      </c>
      <c r="M36" s="149"/>
      <c r="N36" s="150">
        <v>1.0</v>
      </c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Byrne</v>
      </c>
      <c r="D37" s="149">
        <v>1.0</v>
      </c>
      <c r="E37" s="157"/>
      <c r="F37" s="151"/>
      <c r="G37" s="133"/>
      <c r="H37" s="133"/>
      <c r="I37" s="133"/>
      <c r="J37" s="152"/>
      <c r="K37" s="135">
        <f t="shared" si="11"/>
        <v>14</v>
      </c>
      <c r="L37" s="156" t="str">
        <f t="shared" si="12"/>
        <v> Wilson</v>
      </c>
      <c r="M37" s="153"/>
      <c r="N37" s="150">
        <v>1.0</v>
      </c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Kulkarni</v>
      </c>
      <c r="D38" s="149">
        <v>1.0</v>
      </c>
      <c r="E38" s="157"/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Mann</v>
      </c>
      <c r="M38" s="149">
        <v>1.0</v>
      </c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Byrne</v>
      </c>
      <c r="D39" s="149">
        <v>1.0</v>
      </c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Wilson</v>
      </c>
      <c r="M39" s="149">
        <v>1.0</v>
      </c>
      <c r="N39" s="157"/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Kulkarni</v>
      </c>
      <c r="D40" s="159"/>
      <c r="E40" s="160">
        <v>1.0</v>
      </c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Mann</v>
      </c>
      <c r="M40" s="149">
        <v>1.0</v>
      </c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Byrne</v>
      </c>
      <c r="D41" s="159">
        <v>1.0</v>
      </c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Wilson</v>
      </c>
      <c r="M41" s="158"/>
      <c r="N41" s="150">
        <v>1.0</v>
      </c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Kulkarni</v>
      </c>
      <c r="D42" s="159"/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Mann</v>
      </c>
      <c r="M42" s="149">
        <v>1.0</v>
      </c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Byrne</v>
      </c>
      <c r="D43" s="162"/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Wilson</v>
      </c>
      <c r="M43" s="159">
        <v>1.0</v>
      </c>
      <c r="N43" s="161"/>
      <c r="O43" s="152"/>
      <c r="P43" s="175">
        <v>1.0</v>
      </c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Kulkarni</v>
      </c>
      <c r="D44" s="159"/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Mann</v>
      </c>
      <c r="M44" s="159">
        <v>1.0</v>
      </c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Byrne</v>
      </c>
      <c r="D45" s="159"/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Wilson</v>
      </c>
      <c r="M45" s="159">
        <v>1.0</v>
      </c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Kulkarni</v>
      </c>
      <c r="D46" s="159"/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Mann</v>
      </c>
      <c r="M46" s="159">
        <v>1.0</v>
      </c>
      <c r="N46" s="161"/>
      <c r="O46" s="152"/>
      <c r="P46" s="175">
        <v>1.0</v>
      </c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Byrne</v>
      </c>
      <c r="D47" s="159"/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Wilson</v>
      </c>
      <c r="M47" s="159">
        <v>1.0</v>
      </c>
      <c r="N47" s="161"/>
      <c r="O47" s="152"/>
      <c r="P47" s="175">
        <v>1.0</v>
      </c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Kulkarni</v>
      </c>
      <c r="D48" s="159"/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Mann</v>
      </c>
      <c r="M48" s="162"/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Byrne</v>
      </c>
      <c r="D49" s="162"/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Wilson</v>
      </c>
      <c r="M49" s="159"/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Kulkarni</v>
      </c>
      <c r="D50" s="159"/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Mann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Byrne</v>
      </c>
      <c r="D51" s="159"/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Wilson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Kulkarni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Mann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Byrne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Wilson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Kulkarni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Mann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Byrne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Wilson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Kulkarni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Mann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Byrne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Wilson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Kulkarni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Mann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Byrne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Wilson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Kulkarni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Mann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Byrne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Wilson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Kulkarni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Mann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Byrne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Wilson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Kulkarni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Mann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Byrne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Wilson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Kulkarni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Mann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Byrne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Wilson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Kulkarni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Mann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Byrne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Wilson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Kulkarni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Mann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Byrne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Wilson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Kulkarni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Mann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Byrne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Wilson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Kulkarni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Mann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Byrne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Wilson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Kulkarni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Mann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Byrne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Wilson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Kulkarni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Mann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Byrne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Wilson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Kulkarni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Mann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Byrne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Wilson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Kulkarni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Mann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Byrne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Wilson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Kulkarni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Mann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Byrne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Wilson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Kulkarni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Mann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Byrne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Wilson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Kulkarni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Mann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Byrne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Wilson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134</v>
      </c>
      <c r="D3" s="128">
        <f t="shared" ref="D3:J3" si="1">SUMPRODUCT(D10:D90,MOD(ROW(D10:D90),2)=0)</f>
        <v>15</v>
      </c>
      <c r="E3" s="128">
        <f t="shared" si="1"/>
        <v>4</v>
      </c>
      <c r="F3" s="128">
        <f t="shared" si="1"/>
        <v>1</v>
      </c>
      <c r="G3" s="128">
        <f t="shared" si="1"/>
        <v>3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106</v>
      </c>
      <c r="M3" s="128">
        <f t="shared" ref="M3:S3" si="2">SUMPRODUCT(M10:M90,MOD(ROW(M10:M90),2)=0)</f>
        <v>17</v>
      </c>
      <c r="N3" s="128">
        <f t="shared" si="2"/>
        <v>3</v>
      </c>
      <c r="O3" s="128">
        <f t="shared" si="2"/>
        <v>0</v>
      </c>
      <c r="P3" s="128">
        <f t="shared" si="2"/>
        <v>0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79</v>
      </c>
      <c r="D4" s="133">
        <f t="shared" ref="D4:J4" si="3">SUMPRODUCT(D10:D90,MOD(ROW(D10:D90),2))</f>
        <v>13</v>
      </c>
      <c r="E4" s="133">
        <f t="shared" si="3"/>
        <v>6</v>
      </c>
      <c r="F4" s="133">
        <f t="shared" si="3"/>
        <v>2</v>
      </c>
      <c r="G4" s="133">
        <f t="shared" si="3"/>
        <v>0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90</v>
      </c>
      <c r="M4" s="133">
        <f t="shared" ref="M4:S4" si="4">SUMPRODUCT(M10:M90,MOD(ROW(M10:M90),2))</f>
        <v>15</v>
      </c>
      <c r="N4" s="133">
        <f t="shared" si="4"/>
        <v>5</v>
      </c>
      <c r="O4" s="133">
        <f t="shared" si="4"/>
        <v>0</v>
      </c>
      <c r="P4" s="133">
        <f t="shared" si="4"/>
        <v>1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Wilder %</v>
      </c>
      <c r="D5" s="137">
        <f t="shared" ref="D5:D6" si="6">IFERROR((E3/(E3+D3)),0)</f>
        <v>0.2105263158</v>
      </c>
      <c r="K5" s="135"/>
      <c r="L5" s="136" t="str">
        <f t="shared" ref="L5:L6" si="7">IFERROR((L10 &amp;" %"), "")</f>
        <v> Gandarias %</v>
      </c>
      <c r="M5" s="137">
        <f t="shared" ref="M5:M6" si="8">IFERROR((N3/(N3+M3)),0)</f>
        <v>0.15</v>
      </c>
      <c r="S5" s="132"/>
      <c r="T5" s="132"/>
      <c r="U5" s="7"/>
    </row>
    <row r="6">
      <c r="A6" s="14"/>
      <c r="B6" s="138"/>
      <c r="C6" s="139" t="str">
        <f t="shared" si="5"/>
        <v> Albright %</v>
      </c>
      <c r="D6" s="140">
        <f t="shared" si="6"/>
        <v>0.3157894737</v>
      </c>
      <c r="E6" s="141"/>
      <c r="F6" s="141"/>
      <c r="G6" s="141"/>
      <c r="H6" s="141"/>
      <c r="I6" s="141"/>
      <c r="J6" s="141"/>
      <c r="K6" s="138"/>
      <c r="L6" s="139" t="str">
        <f t="shared" si="7"/>
        <v> Cartwright %</v>
      </c>
      <c r="M6" s="142">
        <f t="shared" si="8"/>
        <v>0.25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Wilder")</f>
        <v> Wilder</v>
      </c>
      <c r="D10" s="149"/>
      <c r="E10" s="150">
        <v>1.0</v>
      </c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Gandarias")</f>
        <v> Gandarias</v>
      </c>
      <c r="M10" s="149">
        <v>1.0</v>
      </c>
      <c r="N10" s="154"/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Albright")</f>
        <v> Albright</v>
      </c>
      <c r="D11" s="149">
        <v>1.0</v>
      </c>
      <c r="E11" s="154"/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Cartwright")</f>
        <v> Cartwright</v>
      </c>
      <c r="M11" s="153"/>
      <c r="N11" s="150">
        <v>1.0</v>
      </c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Wilder</v>
      </c>
      <c r="D12" s="149">
        <v>1.0</v>
      </c>
      <c r="E12" s="150"/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Gandarias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Albright</v>
      </c>
      <c r="D13" s="149">
        <v>1.0</v>
      </c>
      <c r="E13" s="154"/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Cartwright</v>
      </c>
      <c r="M13" s="149">
        <v>1.0</v>
      </c>
      <c r="N13" s="157"/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Wilder</v>
      </c>
      <c r="D14" s="149">
        <v>1.0</v>
      </c>
      <c r="E14" s="150"/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Gandarias</v>
      </c>
      <c r="M14" s="149">
        <v>1.0</v>
      </c>
      <c r="N14" s="157"/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Albright</v>
      </c>
      <c r="D15" s="149">
        <v>1.0</v>
      </c>
      <c r="E15" s="150"/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Cartwright</v>
      </c>
      <c r="M15" s="149">
        <v>1.0</v>
      </c>
      <c r="N15" s="157"/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Wilder</v>
      </c>
      <c r="D16" s="149"/>
      <c r="E16" s="150">
        <v>1.0</v>
      </c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Gandarias</v>
      </c>
      <c r="M16" s="149">
        <v>1.0</v>
      </c>
      <c r="N16" s="157"/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Albright</v>
      </c>
      <c r="D17" s="153"/>
      <c r="E17" s="150">
        <v>1.0</v>
      </c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Cartwright</v>
      </c>
      <c r="M17" s="149">
        <v>1.0</v>
      </c>
      <c r="N17" s="154"/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Wilder</v>
      </c>
      <c r="D18" s="149">
        <v>1.0</v>
      </c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Gandarias</v>
      </c>
      <c r="M18" s="149">
        <v>1.0</v>
      </c>
      <c r="N18" s="157"/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Albright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Cartwright</v>
      </c>
      <c r="M19" s="149">
        <v>1.0</v>
      </c>
      <c r="N19" s="154"/>
      <c r="O19" s="133"/>
      <c r="P19" s="151">
        <v>1.0</v>
      </c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Wilder</v>
      </c>
      <c r="D20" s="149">
        <v>1.0</v>
      </c>
      <c r="E20" s="154"/>
      <c r="F20" s="133"/>
      <c r="G20" s="151">
        <v>1.0</v>
      </c>
      <c r="H20" s="133"/>
      <c r="I20" s="133"/>
      <c r="J20" s="152"/>
      <c r="K20" s="129">
        <f t="shared" si="11"/>
        <v>6</v>
      </c>
      <c r="L20" s="156" t="str">
        <f t="shared" si="12"/>
        <v> Gandarias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Albright</v>
      </c>
      <c r="D21" s="149">
        <v>1.0</v>
      </c>
      <c r="E21" s="157"/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Cartwright</v>
      </c>
      <c r="M21" s="149">
        <v>1.0</v>
      </c>
      <c r="N21" s="157"/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Wilder</v>
      </c>
      <c r="D22" s="149">
        <v>1.0</v>
      </c>
      <c r="E22" s="157"/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 Gandarias</v>
      </c>
      <c r="M22" s="149"/>
      <c r="N22" s="150">
        <v>1.0</v>
      </c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Albright</v>
      </c>
      <c r="D23" s="149">
        <v>1.0</v>
      </c>
      <c r="E23" s="157"/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Cartwright</v>
      </c>
      <c r="M23" s="153"/>
      <c r="N23" s="150">
        <v>1.0</v>
      </c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Wilder</v>
      </c>
      <c r="D24" s="149">
        <v>1.0</v>
      </c>
      <c r="E24" s="157"/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Gandarias</v>
      </c>
      <c r="M24" s="149">
        <v>1.0</v>
      </c>
      <c r="N24" s="157"/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Albright</v>
      </c>
      <c r="D25" s="153"/>
      <c r="E25" s="150">
        <v>1.0</v>
      </c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Cartwright</v>
      </c>
      <c r="M25" s="158"/>
      <c r="N25" s="150">
        <v>1.0</v>
      </c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Wilder</v>
      </c>
      <c r="D26" s="149">
        <v>1.0</v>
      </c>
      <c r="E26" s="157"/>
      <c r="F26" s="133"/>
      <c r="G26" s="151">
        <v>1.0</v>
      </c>
      <c r="H26" s="133"/>
      <c r="I26" s="133"/>
      <c r="J26" s="152"/>
      <c r="K26" s="129">
        <f t="shared" si="11"/>
        <v>9</v>
      </c>
      <c r="L26" s="156" t="str">
        <f t="shared" si="12"/>
        <v> Gandarias</v>
      </c>
      <c r="M26" s="153"/>
      <c r="N26" s="150">
        <v>1.0</v>
      </c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Albright</v>
      </c>
      <c r="D27" s="153"/>
      <c r="E27" s="150">
        <v>1.0</v>
      </c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Cartwright</v>
      </c>
      <c r="M27" s="149">
        <v>1.0</v>
      </c>
      <c r="N27" s="157"/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Wilder</v>
      </c>
      <c r="D28" s="149">
        <v>1.0</v>
      </c>
      <c r="E28" s="157"/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Gandarias</v>
      </c>
      <c r="M28" s="153"/>
      <c r="N28" s="150">
        <v>1.0</v>
      </c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Albright</v>
      </c>
      <c r="D29" s="149">
        <v>1.0</v>
      </c>
      <c r="E29" s="157"/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Cartwright</v>
      </c>
      <c r="M29" s="149">
        <v>1.0</v>
      </c>
      <c r="N29" s="157"/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Wilder</v>
      </c>
      <c r="D30" s="149">
        <v>1.0</v>
      </c>
      <c r="E30" s="157"/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Gandarias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Albright</v>
      </c>
      <c r="D31" s="153"/>
      <c r="E31" s="150">
        <v>1.0</v>
      </c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Cartwright</v>
      </c>
      <c r="M31" s="149">
        <v>1.0</v>
      </c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Wilder</v>
      </c>
      <c r="D32" s="149">
        <v>1.0</v>
      </c>
      <c r="E32" s="157"/>
      <c r="F32" s="151">
        <v>1.0</v>
      </c>
      <c r="G32" s="133"/>
      <c r="H32" s="133"/>
      <c r="I32" s="133"/>
      <c r="J32" s="152"/>
      <c r="K32" s="129">
        <f t="shared" si="11"/>
        <v>12</v>
      </c>
      <c r="L32" s="156" t="str">
        <f t="shared" si="12"/>
        <v> Gandarias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Albright</v>
      </c>
      <c r="D33" s="149">
        <v>1.0</v>
      </c>
      <c r="E33" s="157"/>
      <c r="F33" s="151">
        <v>1.0</v>
      </c>
      <c r="G33" s="133"/>
      <c r="H33" s="133"/>
      <c r="I33" s="133"/>
      <c r="J33" s="152"/>
      <c r="K33" s="135">
        <f t="shared" si="11"/>
        <v>12</v>
      </c>
      <c r="L33" s="156" t="str">
        <f t="shared" si="12"/>
        <v> Cartwright</v>
      </c>
      <c r="M33" s="149">
        <v>1.0</v>
      </c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Wilder</v>
      </c>
      <c r="D34" s="149">
        <v>1.0</v>
      </c>
      <c r="E34" s="157"/>
      <c r="F34" s="133"/>
      <c r="G34" s="151">
        <v>1.0</v>
      </c>
      <c r="H34" s="133"/>
      <c r="I34" s="133"/>
      <c r="J34" s="152"/>
      <c r="K34" s="129">
        <f t="shared" si="11"/>
        <v>13</v>
      </c>
      <c r="L34" s="156" t="str">
        <f t="shared" si="12"/>
        <v> Gandarias</v>
      </c>
      <c r="M34" s="149">
        <v>1.0</v>
      </c>
      <c r="N34" s="157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Albright</v>
      </c>
      <c r="D35" s="153"/>
      <c r="E35" s="150">
        <v>1.0</v>
      </c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 Cartwright</v>
      </c>
      <c r="M35" s="153"/>
      <c r="N35" s="150">
        <v>1.0</v>
      </c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Wilder</v>
      </c>
      <c r="D36" s="153"/>
      <c r="E36" s="150">
        <v>1.0</v>
      </c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Gandarias</v>
      </c>
      <c r="M36" s="149">
        <v>1.0</v>
      </c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Albright</v>
      </c>
      <c r="D37" s="149">
        <v>1.0</v>
      </c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Cartwright</v>
      </c>
      <c r="M37" s="153"/>
      <c r="N37" s="150">
        <v>1.0</v>
      </c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Wilder</v>
      </c>
      <c r="D38" s="149">
        <v>1.0</v>
      </c>
      <c r="E38" s="157"/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Gandarias</v>
      </c>
      <c r="M38" s="149">
        <v>1.0</v>
      </c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Albright</v>
      </c>
      <c r="D39" s="149">
        <v>1.0</v>
      </c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Cartwright</v>
      </c>
      <c r="M39" s="149">
        <v>1.0</v>
      </c>
      <c r="N39" s="157"/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Wilder</v>
      </c>
      <c r="D40" s="159">
        <v>1.0</v>
      </c>
      <c r="E40" s="160"/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Gandarias</v>
      </c>
      <c r="M40" s="149">
        <v>1.0</v>
      </c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Albright</v>
      </c>
      <c r="D41" s="159">
        <v>1.0</v>
      </c>
      <c r="E41" s="161"/>
      <c r="F41" s="151">
        <v>1.0</v>
      </c>
      <c r="G41" s="133"/>
      <c r="H41" s="133"/>
      <c r="I41" s="133"/>
      <c r="J41" s="152"/>
      <c r="K41" s="135">
        <f t="shared" si="11"/>
        <v>16</v>
      </c>
      <c r="L41" s="156" t="str">
        <f t="shared" si="12"/>
        <v> Cartwright</v>
      </c>
      <c r="M41" s="149">
        <v>1.0</v>
      </c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Wilder</v>
      </c>
      <c r="D42" s="159">
        <v>1.0</v>
      </c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Gandarias</v>
      </c>
      <c r="M42" s="149">
        <v>1.0</v>
      </c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Albright</v>
      </c>
      <c r="D43" s="159">
        <v>1.0</v>
      </c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Cartwright</v>
      </c>
      <c r="M43" s="159">
        <v>1.0</v>
      </c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Wilder</v>
      </c>
      <c r="D44" s="159"/>
      <c r="E44" s="160">
        <v>1.0</v>
      </c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Gandarias</v>
      </c>
      <c r="M44" s="159">
        <v>1.0</v>
      </c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Albright</v>
      </c>
      <c r="D45" s="159">
        <v>1.0</v>
      </c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Cartwright</v>
      </c>
      <c r="M45" s="159">
        <v>1.0</v>
      </c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Wilder</v>
      </c>
      <c r="D46" s="159">
        <v>1.0</v>
      </c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Gandarias</v>
      </c>
      <c r="M46" s="159">
        <v>1.0</v>
      </c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Albright</v>
      </c>
      <c r="D47" s="159"/>
      <c r="E47" s="160">
        <v>1.0</v>
      </c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Cartwright</v>
      </c>
      <c r="M47" s="159">
        <v>1.0</v>
      </c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Wilder</v>
      </c>
      <c r="D48" s="159"/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Gandarias</v>
      </c>
      <c r="M48" s="159">
        <v>1.0</v>
      </c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Albright</v>
      </c>
      <c r="D49" s="162"/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Cartwright</v>
      </c>
      <c r="M49" s="159">
        <v>1.0</v>
      </c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Wilder</v>
      </c>
      <c r="D50" s="159"/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Gandarias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Albright</v>
      </c>
      <c r="D51" s="159"/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Cartwright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Wilder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Gandarias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Albright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Cartwright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Wilder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Gandarias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Albright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Cartwright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Wilder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Gandarias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Albright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Cartwright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Wilder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Gandarias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Albright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Cartwright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Wilder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Gandarias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Albright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Cartwright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Wilder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Gandarias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Albright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Cartwright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Wilder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Gandarias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Albright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Cartwright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Wilder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Gandarias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Albright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Cartwright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Wilder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Gandarias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Albright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Cartwright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Wilder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Gandarias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Albright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Cartwright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Wilder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Gandarias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Albright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Cartwright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Wilder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Gandarias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Albright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Cartwright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Wilder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Gandarias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Albright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Cartwright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Wilder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Gandarias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Albright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Cartwright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Wilder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Gandarias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Albright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Cartwright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Wilder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Gandarias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Albright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Cartwright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Wilder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Gandarias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Albright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Cartwright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Wilder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Gandarias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Albright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Cartwright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Wilder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Gandarias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Albright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Cartwright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127</v>
      </c>
      <c r="D3" s="128">
        <f t="shared" ref="D3:J3" si="1">SUMPRODUCT(D10:D90,MOD(ROW(D10:D90),2)=0)</f>
        <v>17</v>
      </c>
      <c r="E3" s="128">
        <f t="shared" si="1"/>
        <v>4</v>
      </c>
      <c r="F3" s="128">
        <f t="shared" si="1"/>
        <v>0</v>
      </c>
      <c r="G3" s="128">
        <f t="shared" si="1"/>
        <v>2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99</v>
      </c>
      <c r="M3" s="128">
        <f t="shared" ref="M3:S3" si="2">SUMPRODUCT(M10:M90,MOD(ROW(M10:M90),2)=0)</f>
        <v>17</v>
      </c>
      <c r="N3" s="128">
        <f t="shared" si="2"/>
        <v>3</v>
      </c>
      <c r="O3" s="128">
        <f t="shared" si="2"/>
        <v>1</v>
      </c>
      <c r="P3" s="128">
        <f t="shared" si="2"/>
        <v>1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86</v>
      </c>
      <c r="D4" s="133">
        <f t="shared" ref="D4:J4" si="3">SUMPRODUCT(D10:D90,MOD(ROW(D10:D90),2))</f>
        <v>15</v>
      </c>
      <c r="E4" s="133">
        <f t="shared" si="3"/>
        <v>6</v>
      </c>
      <c r="F4" s="133">
        <f t="shared" si="3"/>
        <v>1</v>
      </c>
      <c r="G4" s="133">
        <f t="shared" si="3"/>
        <v>0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81</v>
      </c>
      <c r="M4" s="133">
        <f t="shared" ref="M4:S4" si="4">SUMPRODUCT(M10:M90,MOD(ROW(M10:M90),2))</f>
        <v>14</v>
      </c>
      <c r="N4" s="133">
        <f t="shared" si="4"/>
        <v>6</v>
      </c>
      <c r="O4" s="133">
        <f t="shared" si="4"/>
        <v>0</v>
      </c>
      <c r="P4" s="133">
        <f t="shared" si="4"/>
        <v>3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Emilio %</v>
      </c>
      <c r="D5" s="137">
        <f t="shared" ref="D5:D6" si="6">IFERROR((E3/(E3+D3)),0)</f>
        <v>0.1904761905</v>
      </c>
      <c r="K5" s="135"/>
      <c r="L5" s="136" t="str">
        <f t="shared" ref="L5:L6" si="7">IFERROR((L10 &amp;" %"), "")</f>
        <v>Hudson %</v>
      </c>
      <c r="M5" s="137">
        <f t="shared" ref="M5:M6" si="8">IFERROR((N3/(N3+M3)),0)</f>
        <v>0.15</v>
      </c>
      <c r="S5" s="132"/>
      <c r="T5" s="132"/>
      <c r="U5" s="7"/>
    </row>
    <row r="6">
      <c r="A6" s="14"/>
      <c r="B6" s="138"/>
      <c r="C6" s="139" t="str">
        <f t="shared" si="5"/>
        <v>Tolsma %</v>
      </c>
      <c r="D6" s="140">
        <f t="shared" si="6"/>
        <v>0.2857142857</v>
      </c>
      <c r="E6" s="141"/>
      <c r="F6" s="141"/>
      <c r="G6" s="141"/>
      <c r="H6" s="141"/>
      <c r="I6" s="141"/>
      <c r="J6" s="141"/>
      <c r="K6" s="138"/>
      <c r="L6" s="139" t="str">
        <f t="shared" si="7"/>
        <v>Creamer %</v>
      </c>
      <c r="M6" s="142">
        <f t="shared" si="8"/>
        <v>0.3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">
        <v>184</v>
      </c>
      <c r="D10" s="149">
        <v>1.0</v>
      </c>
      <c r="E10" s="150"/>
      <c r="F10" s="151"/>
      <c r="G10" s="151"/>
      <c r="H10" s="151"/>
      <c r="I10" s="151"/>
      <c r="J10" s="152"/>
      <c r="K10" s="129">
        <v>1.0</v>
      </c>
      <c r="L10" s="136" t="s">
        <v>185</v>
      </c>
      <c r="M10" s="149">
        <v>1.0</v>
      </c>
      <c r="N10" s="154"/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">
        <v>186</v>
      </c>
      <c r="D11" s="149"/>
      <c r="E11" s="150">
        <v>1.0</v>
      </c>
      <c r="F11" s="133"/>
      <c r="G11" s="133"/>
      <c r="H11" s="133"/>
      <c r="I11" s="133"/>
      <c r="J11" s="152"/>
      <c r="K11" s="129">
        <v>1.0</v>
      </c>
      <c r="L11" s="136" t="s">
        <v>187</v>
      </c>
      <c r="M11" s="149">
        <v>1.0</v>
      </c>
      <c r="N11" s="154"/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Emilio</v>
      </c>
      <c r="D12" s="149">
        <v>1.0</v>
      </c>
      <c r="E12" s="150"/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Hudson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Tolsma</v>
      </c>
      <c r="D13" s="149">
        <v>1.0</v>
      </c>
      <c r="E13" s="154"/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Creamer</v>
      </c>
      <c r="M13" s="153"/>
      <c r="N13" s="150">
        <v>1.0</v>
      </c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Emilio</v>
      </c>
      <c r="D14" s="149">
        <v>1.0</v>
      </c>
      <c r="E14" s="150"/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Hudson</v>
      </c>
      <c r="M14" s="153"/>
      <c r="N14" s="150">
        <v>1.0</v>
      </c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Tolsma</v>
      </c>
      <c r="D15" s="149">
        <v>1.0</v>
      </c>
      <c r="E15" s="150"/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Creamer</v>
      </c>
      <c r="M15" s="149">
        <v>1.0</v>
      </c>
      <c r="N15" s="157"/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Emilio</v>
      </c>
      <c r="D16" s="149">
        <v>1.0</v>
      </c>
      <c r="E16" s="157"/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Hudson</v>
      </c>
      <c r="M16" s="149">
        <v>1.0</v>
      </c>
      <c r="N16" s="157"/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Tolsma</v>
      </c>
      <c r="D17" s="149">
        <v>1.0</v>
      </c>
      <c r="E17" s="154"/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Creamer</v>
      </c>
      <c r="M17" s="149">
        <v>1.0</v>
      </c>
      <c r="N17" s="154"/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Emilio</v>
      </c>
      <c r="D18" s="153"/>
      <c r="E18" s="150">
        <v>1.0</v>
      </c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Hudson</v>
      </c>
      <c r="M18" s="149">
        <v>1.0</v>
      </c>
      <c r="N18" s="157"/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Tolsma</v>
      </c>
      <c r="D19" s="153"/>
      <c r="E19" s="150">
        <v>1.0</v>
      </c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Creamer</v>
      </c>
      <c r="M19" s="149">
        <v>1.0</v>
      </c>
      <c r="N19" s="154"/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Emilio</v>
      </c>
      <c r="D20" s="149">
        <v>1.0</v>
      </c>
      <c r="E20" s="154"/>
      <c r="F20" s="133"/>
      <c r="G20" s="151">
        <v>1.0</v>
      </c>
      <c r="H20" s="133"/>
      <c r="I20" s="133"/>
      <c r="J20" s="152"/>
      <c r="K20" s="129">
        <f t="shared" si="11"/>
        <v>6</v>
      </c>
      <c r="L20" s="156" t="str">
        <f t="shared" si="12"/>
        <v>Hudson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Tolsma</v>
      </c>
      <c r="D21" s="149">
        <v>1.0</v>
      </c>
      <c r="E21" s="157"/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Creamer</v>
      </c>
      <c r="M21" s="149">
        <v>1.0</v>
      </c>
      <c r="N21" s="157"/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Emilio</v>
      </c>
      <c r="D22" s="149">
        <v>1.0</v>
      </c>
      <c r="E22" s="157"/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Hudson</v>
      </c>
      <c r="M22" s="149">
        <v>1.0</v>
      </c>
      <c r="N22" s="157"/>
      <c r="O22" s="151">
        <v>1.0</v>
      </c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Tolsma</v>
      </c>
      <c r="D23" s="149">
        <v>1.0</v>
      </c>
      <c r="E23" s="157"/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Creamer</v>
      </c>
      <c r="M23" s="153"/>
      <c r="N23" s="150">
        <v>1.0</v>
      </c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Emilio</v>
      </c>
      <c r="D24" s="149">
        <v>1.0</v>
      </c>
      <c r="E24" s="157"/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Hudson</v>
      </c>
      <c r="M24" s="149">
        <v>1.0</v>
      </c>
      <c r="N24" s="157"/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Tolsma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Creamer</v>
      </c>
      <c r="M25" s="158"/>
      <c r="N25" s="150">
        <v>1.0</v>
      </c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Emilio</v>
      </c>
      <c r="D26" s="149">
        <v>1.0</v>
      </c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Hudson</v>
      </c>
      <c r="M26" s="153"/>
      <c r="N26" s="150">
        <v>1.0</v>
      </c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Tolsma</v>
      </c>
      <c r="D27" s="153"/>
      <c r="E27" s="150">
        <v>1.0</v>
      </c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Creamer</v>
      </c>
      <c r="M27" s="153"/>
      <c r="N27" s="150">
        <v>1.0</v>
      </c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Emilio</v>
      </c>
      <c r="D28" s="153"/>
      <c r="E28" s="150">
        <v>1.0</v>
      </c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Hudson</v>
      </c>
      <c r="M28" s="149">
        <v>1.0</v>
      </c>
      <c r="N28" s="157"/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Tolsma</v>
      </c>
      <c r="D29" s="149">
        <v>1.0</v>
      </c>
      <c r="E29" s="157"/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Creamer</v>
      </c>
      <c r="M29" s="153"/>
      <c r="N29" s="150">
        <v>1.0</v>
      </c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Emilio</v>
      </c>
      <c r="D30" s="153"/>
      <c r="E30" s="150">
        <v>1.0</v>
      </c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Hudson</v>
      </c>
      <c r="M30" s="149">
        <v>1.0</v>
      </c>
      <c r="N30" s="157"/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Tolsma</v>
      </c>
      <c r="D31" s="149">
        <v>1.0</v>
      </c>
      <c r="E31" s="157"/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Creamer</v>
      </c>
      <c r="M31" s="149">
        <v>1.0</v>
      </c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Emilio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Hudson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Tolsma</v>
      </c>
      <c r="D33" s="153"/>
      <c r="E33" s="150">
        <v>1.0</v>
      </c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Creamer</v>
      </c>
      <c r="M33" s="149">
        <v>1.0</v>
      </c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Emilio</v>
      </c>
      <c r="D34" s="149">
        <v>1.0</v>
      </c>
      <c r="E34" s="157"/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Hudson</v>
      </c>
      <c r="M34" s="149">
        <v>1.0</v>
      </c>
      <c r="N34" s="157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Tolsma</v>
      </c>
      <c r="D35" s="149">
        <v>1.0</v>
      </c>
      <c r="E35" s="157"/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Creamer</v>
      </c>
      <c r="M35" s="153"/>
      <c r="N35" s="150">
        <v>1.0</v>
      </c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Emilio</v>
      </c>
      <c r="D36" s="149">
        <v>1.0</v>
      </c>
      <c r="E36" s="157"/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Hudson</v>
      </c>
      <c r="M36" s="153"/>
      <c r="N36" s="150">
        <v>1.0</v>
      </c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Tolsma</v>
      </c>
      <c r="D37" s="149">
        <v>1.0</v>
      </c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Creamer</v>
      </c>
      <c r="M37" s="149">
        <v>1.0</v>
      </c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Emilio</v>
      </c>
      <c r="D38" s="149">
        <v>1.0</v>
      </c>
      <c r="E38" s="157"/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Hudson</v>
      </c>
      <c r="M38" s="149">
        <v>1.0</v>
      </c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Tolsma</v>
      </c>
      <c r="D39" s="149">
        <v>1.0</v>
      </c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Creamer</v>
      </c>
      <c r="M39" s="149">
        <v>1.0</v>
      </c>
      <c r="N39" s="157"/>
      <c r="O39" s="133"/>
      <c r="P39" s="151">
        <v>1.0</v>
      </c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Emilio</v>
      </c>
      <c r="D40" s="159">
        <v>1.0</v>
      </c>
      <c r="E40" s="160"/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Hudson</v>
      </c>
      <c r="M40" s="149">
        <v>1.0</v>
      </c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Tolsma</v>
      </c>
      <c r="D41" s="159">
        <v>1.0</v>
      </c>
      <c r="E41" s="161"/>
      <c r="F41" s="151">
        <v>1.0</v>
      </c>
      <c r="G41" s="133"/>
      <c r="H41" s="133"/>
      <c r="I41" s="133"/>
      <c r="J41" s="152"/>
      <c r="K41" s="135">
        <f t="shared" si="11"/>
        <v>16</v>
      </c>
      <c r="L41" s="156" t="str">
        <f t="shared" si="12"/>
        <v>Creamer</v>
      </c>
      <c r="M41" s="149">
        <v>1.0</v>
      </c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Emilio</v>
      </c>
      <c r="D42" s="159">
        <v>1.0</v>
      </c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Hudson</v>
      </c>
      <c r="M42" s="149">
        <v>1.0</v>
      </c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Tolsma</v>
      </c>
      <c r="D43" s="159">
        <v>1.0</v>
      </c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Creamer</v>
      </c>
      <c r="M43" s="159">
        <v>1.0</v>
      </c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Emilio</v>
      </c>
      <c r="D44" s="159">
        <v>1.0</v>
      </c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Hudson</v>
      </c>
      <c r="M44" s="159">
        <v>1.0</v>
      </c>
      <c r="N44" s="161"/>
      <c r="O44" s="152"/>
      <c r="P44" s="175">
        <v>1.0</v>
      </c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Tolsma</v>
      </c>
      <c r="D45" s="159">
        <v>1.0</v>
      </c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Creamer</v>
      </c>
      <c r="M45" s="159">
        <v>1.0</v>
      </c>
      <c r="N45" s="161"/>
      <c r="O45" s="152"/>
      <c r="P45" s="175">
        <v>1.0</v>
      </c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Emilio</v>
      </c>
      <c r="D46" s="159">
        <v>1.0</v>
      </c>
      <c r="E46" s="160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Hudson</v>
      </c>
      <c r="M46" s="159">
        <v>1.0</v>
      </c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Tolsma</v>
      </c>
      <c r="D47" s="159">
        <v>1.0</v>
      </c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Creamer</v>
      </c>
      <c r="M47" s="159">
        <v>1.0</v>
      </c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Emilio</v>
      </c>
      <c r="D48" s="159"/>
      <c r="E48" s="160">
        <v>1.0</v>
      </c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Hudson</v>
      </c>
      <c r="M48" s="159">
        <v>1.0</v>
      </c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Tolsma</v>
      </c>
      <c r="D49" s="162"/>
      <c r="E49" s="160">
        <v>1.0</v>
      </c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Creamer</v>
      </c>
      <c r="M49" s="159">
        <v>1.0</v>
      </c>
      <c r="N49" s="161"/>
      <c r="O49" s="152"/>
      <c r="P49" s="175">
        <v>1.0</v>
      </c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Emilio</v>
      </c>
      <c r="D50" s="159">
        <v>1.0</v>
      </c>
      <c r="E50" s="161"/>
      <c r="F50" s="133"/>
      <c r="G50" s="151">
        <v>1.0</v>
      </c>
      <c r="H50" s="133"/>
      <c r="I50" s="133"/>
      <c r="J50" s="152"/>
      <c r="K50" s="129">
        <f t="shared" si="11"/>
        <v>21</v>
      </c>
      <c r="L50" s="156" t="str">
        <f t="shared" si="12"/>
        <v>Hudson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Tolsma</v>
      </c>
      <c r="D51" s="159"/>
      <c r="E51" s="160">
        <v>1.0</v>
      </c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Creamer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Emilio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Hudson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Tolsma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Creamer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Emilio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Hudson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Tolsma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Creamer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Emilio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Hudson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Tolsma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Creamer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Emilio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Hudson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Tolsma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Creamer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Emilio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Hudson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Tolsma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Creamer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Emilio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Hudson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Tolsma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Creamer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Emilio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Hudson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Tolsma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Creamer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Emilio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Hudson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Tolsma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Creamer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Emilio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Hudson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Tolsma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Creamer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Emilio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Hudson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Tolsma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Creamer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Emilio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Hudson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Tolsma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Creamer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Emilio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Hudson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Tolsma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Creamer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Emilio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Hudson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Tolsma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Creamer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Emilio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Hudson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Tolsma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Creamer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Emilio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Hudson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Tolsma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Creamer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Emilio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Hudson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Tolsma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Creamer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Emilio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Hudson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Tolsma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Creamer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Emilio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Hudson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Tolsma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Creamer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Emilio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Hudson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Tolsma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Creamer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91</v>
      </c>
      <c r="D3" s="128">
        <f t="shared" ref="D3:J3" si="1">SUMPRODUCT(D10:D90,MOD(ROW(D10:D90),2)=0)</f>
        <v>15</v>
      </c>
      <c r="E3" s="128">
        <f t="shared" si="1"/>
        <v>6</v>
      </c>
      <c r="F3" s="128">
        <f t="shared" si="1"/>
        <v>2</v>
      </c>
      <c r="G3" s="128">
        <f t="shared" si="1"/>
        <v>0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126</v>
      </c>
      <c r="M3" s="128">
        <f t="shared" ref="M3:S3" si="2">SUMPRODUCT(M10:M90,MOD(ROW(M10:M90),2)=0)</f>
        <v>18</v>
      </c>
      <c r="N3" s="128">
        <f t="shared" si="2"/>
        <v>2</v>
      </c>
      <c r="O3" s="128">
        <f t="shared" si="2"/>
        <v>2</v>
      </c>
      <c r="P3" s="128">
        <f t="shared" si="2"/>
        <v>1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136</v>
      </c>
      <c r="D4" s="133">
        <f t="shared" ref="D4:J4" si="3">SUMPRODUCT(D10:D90,MOD(ROW(D10:D90),2))</f>
        <v>16</v>
      </c>
      <c r="E4" s="133">
        <f t="shared" si="3"/>
        <v>4</v>
      </c>
      <c r="F4" s="133">
        <f t="shared" si="3"/>
        <v>0</v>
      </c>
      <c r="G4" s="133">
        <f t="shared" si="3"/>
        <v>0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113</v>
      </c>
      <c r="M4" s="133">
        <f t="shared" ref="M4:S4" si="4">SUMPRODUCT(M10:M90,MOD(ROW(M10:M90),2))</f>
        <v>15</v>
      </c>
      <c r="N4" s="133">
        <f t="shared" si="4"/>
        <v>5</v>
      </c>
      <c r="O4" s="133">
        <f t="shared" si="4"/>
        <v>1</v>
      </c>
      <c r="P4" s="133">
        <f t="shared" si="4"/>
        <v>0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Lewis %</v>
      </c>
      <c r="D5" s="137">
        <f t="shared" ref="D5:D6" si="6">IFERROR((E3/(E3+D3)),0)</f>
        <v>0.2857142857</v>
      </c>
      <c r="K5" s="135"/>
      <c r="L5" s="136" t="str">
        <f t="shared" ref="L5:L6" si="7">IFERROR((L10 &amp;" %"), "")</f>
        <v> Voelker %</v>
      </c>
      <c r="M5" s="137">
        <f t="shared" ref="M5:M6" si="8">IFERROR((N3/(N3+M3)),0)</f>
        <v>0.1</v>
      </c>
      <c r="S5" s="132"/>
      <c r="T5" s="132"/>
      <c r="U5" s="7"/>
    </row>
    <row r="6">
      <c r="A6" s="14"/>
      <c r="B6" s="138"/>
      <c r="C6" s="139" t="str">
        <f t="shared" si="5"/>
        <v> Schroeder %</v>
      </c>
      <c r="D6" s="140">
        <f t="shared" si="6"/>
        <v>0.2</v>
      </c>
      <c r="E6" s="141"/>
      <c r="F6" s="141"/>
      <c r="G6" s="141"/>
      <c r="H6" s="141"/>
      <c r="I6" s="141"/>
      <c r="J6" s="141"/>
      <c r="K6" s="138"/>
      <c r="L6" s="139" t="str">
        <f t="shared" si="7"/>
        <v> Plumpton %</v>
      </c>
      <c r="M6" s="142">
        <f t="shared" si="8"/>
        <v>0.25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Lewis")</f>
        <v> Lewis</v>
      </c>
      <c r="D10" s="149">
        <v>1.0</v>
      </c>
      <c r="E10" s="150"/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Voelker")</f>
        <v> Voelker</v>
      </c>
      <c r="M10" s="149">
        <v>1.0</v>
      </c>
      <c r="N10" s="154"/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Schroeder")</f>
        <v> Schroeder</v>
      </c>
      <c r="D11" s="149">
        <v>1.0</v>
      </c>
      <c r="E11" s="154"/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Plumpton")</f>
        <v> Plumpton</v>
      </c>
      <c r="M11" s="153"/>
      <c r="N11" s="150">
        <v>1.0</v>
      </c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Lewis</v>
      </c>
      <c r="D12" s="149">
        <v>1.0</v>
      </c>
      <c r="E12" s="150"/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Voelker</v>
      </c>
      <c r="M12" s="149">
        <v>1.0</v>
      </c>
      <c r="N12" s="154"/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Schroeder</v>
      </c>
      <c r="D13" s="149"/>
      <c r="E13" s="150">
        <v>1.0</v>
      </c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Plumpton</v>
      </c>
      <c r="M13" s="153"/>
      <c r="N13" s="150">
        <v>1.0</v>
      </c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Lewis</v>
      </c>
      <c r="D14" s="153"/>
      <c r="E14" s="150">
        <v>1.0</v>
      </c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Voelker</v>
      </c>
      <c r="M14" s="153"/>
      <c r="N14" s="150">
        <v>1.0</v>
      </c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Schroeder</v>
      </c>
      <c r="D15" s="153"/>
      <c r="E15" s="150">
        <v>1.0</v>
      </c>
      <c r="F15" s="133"/>
      <c r="G15" s="133"/>
      <c r="H15" s="133"/>
      <c r="I15" s="133"/>
      <c r="J15" s="152"/>
      <c r="K15" s="135">
        <f t="shared" si="11"/>
        <v>3</v>
      </c>
      <c r="L15" s="156" t="str">
        <f t="shared" si="12"/>
        <v> Plumpton</v>
      </c>
      <c r="M15" s="149">
        <v>1.0</v>
      </c>
      <c r="N15" s="157"/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Lewis</v>
      </c>
      <c r="D16" s="153"/>
      <c r="E16" s="150">
        <v>1.0</v>
      </c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Voelker</v>
      </c>
      <c r="M16" s="149">
        <v>1.0</v>
      </c>
      <c r="N16" s="157"/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Schroeder</v>
      </c>
      <c r="D17" s="153"/>
      <c r="E17" s="150">
        <v>1.0</v>
      </c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Plumpton</v>
      </c>
      <c r="M17" s="158"/>
      <c r="N17" s="150">
        <v>1.0</v>
      </c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Lewis</v>
      </c>
      <c r="D18" s="149">
        <v>1.0</v>
      </c>
      <c r="E18" s="154"/>
      <c r="F18" s="151">
        <v>1.0</v>
      </c>
      <c r="G18" s="133"/>
      <c r="H18" s="133"/>
      <c r="I18" s="133"/>
      <c r="J18" s="152"/>
      <c r="K18" s="129">
        <f t="shared" si="11"/>
        <v>5</v>
      </c>
      <c r="L18" s="156" t="str">
        <f t="shared" si="12"/>
        <v> Voelker</v>
      </c>
      <c r="M18" s="149">
        <v>1.0</v>
      </c>
      <c r="N18" s="157"/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Schroeder</v>
      </c>
      <c r="D19" s="149">
        <v>1.0</v>
      </c>
      <c r="E19" s="157"/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Plumpton</v>
      </c>
      <c r="M19" s="149">
        <v>1.0</v>
      </c>
      <c r="N19" s="154"/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Lewis</v>
      </c>
      <c r="D20" s="158"/>
      <c r="E20" s="150">
        <v>1.0</v>
      </c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Voelker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Schroeder</v>
      </c>
      <c r="D21" s="149">
        <v>1.0</v>
      </c>
      <c r="E21" s="157"/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Plumpton</v>
      </c>
      <c r="M21" s="153"/>
      <c r="N21" s="150">
        <v>1.0</v>
      </c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Lewis</v>
      </c>
      <c r="D22" s="149">
        <v>1.0</v>
      </c>
      <c r="E22" s="157"/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 Voelker</v>
      </c>
      <c r="M22" s="149">
        <v>1.0</v>
      </c>
      <c r="N22" s="157"/>
      <c r="O22" s="151">
        <v>1.0</v>
      </c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Schroeder</v>
      </c>
      <c r="D23" s="149">
        <v>1.0</v>
      </c>
      <c r="E23" s="157"/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Plumpton</v>
      </c>
      <c r="M23" s="149">
        <v>1.0</v>
      </c>
      <c r="N23" s="157"/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Lewis</v>
      </c>
      <c r="D24" s="149">
        <v>1.0</v>
      </c>
      <c r="E24" s="157"/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Voelker</v>
      </c>
      <c r="M24" s="149">
        <v>1.0</v>
      </c>
      <c r="N24" s="157"/>
      <c r="O24" s="151">
        <v>1.0</v>
      </c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Schroeder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Plumpton</v>
      </c>
      <c r="M25" s="149">
        <v>1.0</v>
      </c>
      <c r="N25" s="154"/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Lewis</v>
      </c>
      <c r="D26" s="153"/>
      <c r="E26" s="150">
        <v>1.0</v>
      </c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Voelker</v>
      </c>
      <c r="M26" s="153"/>
      <c r="N26" s="150">
        <v>1.0</v>
      </c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Schroeder</v>
      </c>
      <c r="D27" s="149">
        <v>1.0</v>
      </c>
      <c r="E27" s="157"/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Plumpton</v>
      </c>
      <c r="M27" s="149">
        <v>1.0</v>
      </c>
      <c r="N27" s="157"/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Lewis</v>
      </c>
      <c r="D28" s="149">
        <v>1.0</v>
      </c>
      <c r="E28" s="157"/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Voelker</v>
      </c>
      <c r="M28" s="149">
        <v>1.0</v>
      </c>
      <c r="N28" s="157"/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Schroeder</v>
      </c>
      <c r="D29" s="153"/>
      <c r="E29" s="150">
        <v>1.0</v>
      </c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Plumpton</v>
      </c>
      <c r="M29" s="149">
        <v>1.0</v>
      </c>
      <c r="N29" s="157"/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Lewis</v>
      </c>
      <c r="D30" s="149">
        <v>1.0</v>
      </c>
      <c r="E30" s="157"/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Voelker</v>
      </c>
      <c r="M30" s="149">
        <v>1.0</v>
      </c>
      <c r="N30" s="157"/>
      <c r="O30" s="133"/>
      <c r="P30" s="151">
        <v>1.0</v>
      </c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Schroeder</v>
      </c>
      <c r="D31" s="149">
        <v>1.0</v>
      </c>
      <c r="E31" s="157"/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Plumpton</v>
      </c>
      <c r="M31" s="149">
        <v>1.0</v>
      </c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Lewis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Voelker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Schroeder</v>
      </c>
      <c r="D33" s="149">
        <v>1.0</v>
      </c>
      <c r="E33" s="157"/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Plumpton</v>
      </c>
      <c r="M33" s="149">
        <v>1.0</v>
      </c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Lewis</v>
      </c>
      <c r="D34" s="153"/>
      <c r="E34" s="150">
        <v>1.0</v>
      </c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Voelker</v>
      </c>
      <c r="M34" s="149">
        <v>1.0</v>
      </c>
      <c r="N34" s="157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Schroeder</v>
      </c>
      <c r="D35" s="149">
        <v>1.0</v>
      </c>
      <c r="E35" s="157"/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 Plumpton</v>
      </c>
      <c r="M35" s="149">
        <v>1.0</v>
      </c>
      <c r="N35" s="157"/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Lewis</v>
      </c>
      <c r="D36" s="149">
        <v>1.0</v>
      </c>
      <c r="E36" s="157"/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Voelker</v>
      </c>
      <c r="M36" s="149">
        <v>1.0</v>
      </c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Schroeder</v>
      </c>
      <c r="D37" s="149">
        <v>1.0</v>
      </c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Plumpton</v>
      </c>
      <c r="M37" s="149">
        <v>1.0</v>
      </c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Lewis</v>
      </c>
      <c r="D38" s="149">
        <v>1.0</v>
      </c>
      <c r="E38" s="157"/>
      <c r="F38" s="151">
        <v>1.0</v>
      </c>
      <c r="G38" s="133"/>
      <c r="H38" s="133"/>
      <c r="I38" s="133"/>
      <c r="J38" s="152"/>
      <c r="K38" s="129">
        <f t="shared" si="11"/>
        <v>15</v>
      </c>
      <c r="L38" s="156" t="str">
        <f t="shared" si="12"/>
        <v> Voelker</v>
      </c>
      <c r="M38" s="149">
        <v>1.0</v>
      </c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Schroeder</v>
      </c>
      <c r="D39" s="149">
        <v>1.0</v>
      </c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Plumpton</v>
      </c>
      <c r="M39" s="149">
        <v>1.0</v>
      </c>
      <c r="N39" s="157"/>
      <c r="O39" s="151">
        <v>1.0</v>
      </c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Lewis</v>
      </c>
      <c r="D40" s="159">
        <v>1.0</v>
      </c>
      <c r="E40" s="160"/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Voelker</v>
      </c>
      <c r="M40" s="149">
        <v>1.0</v>
      </c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Schroeder</v>
      </c>
      <c r="D41" s="159">
        <v>1.0</v>
      </c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Plumpton</v>
      </c>
      <c r="M41" s="149">
        <v>1.0</v>
      </c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Lewis</v>
      </c>
      <c r="D42" s="159">
        <v>1.0</v>
      </c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Voelker</v>
      </c>
      <c r="M42" s="149">
        <v>1.0</v>
      </c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Schroeder</v>
      </c>
      <c r="D43" s="159">
        <v>1.0</v>
      </c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Plumpton</v>
      </c>
      <c r="M43" s="159"/>
      <c r="N43" s="160">
        <v>1.0</v>
      </c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Lewis</v>
      </c>
      <c r="D44" s="159">
        <v>1.0</v>
      </c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Voelker</v>
      </c>
      <c r="M44" s="159">
        <v>1.0</v>
      </c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Schroeder</v>
      </c>
      <c r="D45" s="159">
        <v>1.0</v>
      </c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Plumpton</v>
      </c>
      <c r="M45" s="159">
        <v>1.0</v>
      </c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Lewis</v>
      </c>
      <c r="D46" s="159">
        <v>1.0</v>
      </c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Voelker</v>
      </c>
      <c r="M46" s="159">
        <v>1.0</v>
      </c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Schroeder</v>
      </c>
      <c r="D47" s="159">
        <v>1.0</v>
      </c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Plumpton</v>
      </c>
      <c r="M47" s="159">
        <v>1.0</v>
      </c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Lewis</v>
      </c>
      <c r="D48" s="159">
        <v>1.0</v>
      </c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Voelker</v>
      </c>
      <c r="M48" s="159">
        <v>1.0</v>
      </c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Schroeder</v>
      </c>
      <c r="D49" s="159">
        <v>1.0</v>
      </c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Plumpton</v>
      </c>
      <c r="M49" s="159">
        <v>1.0</v>
      </c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Lewis</v>
      </c>
      <c r="D50" s="159"/>
      <c r="E50" s="160">
        <v>1.0</v>
      </c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Voelker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Schroeder</v>
      </c>
      <c r="D51" s="159"/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Plumpton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Lewis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Voelker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Schroeder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Plumpton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Lewis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Voelker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Schroeder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Plumpton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Lewis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Voelker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Schroeder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Plumpton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Lewis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Voelker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Schroeder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Plumpton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Lewis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Voelker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Schroeder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Plumpton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Lewis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Voelker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Schroeder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Plumpton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Lewis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Voelker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Schroeder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Plumpton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Lewis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Voelker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Schroeder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Plumpton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Lewis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Voelker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Schroeder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Plumpton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Lewis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Voelker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Schroeder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Plumpton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Lewis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Voelker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Schroeder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Plumpton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Lewis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Voelker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Schroeder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Plumpton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Lewis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Voelker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Schroeder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Plumpton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Lewis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Voelker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Schroeder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Plumpton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Lewis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Voelker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Schroeder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Plumpton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Lewis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Voelker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Schroeder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Plumpton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Lewis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Voelker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Schroeder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Plumpton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Lewis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Voelker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Schroeder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Plumpton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Lewis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Voelker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Schroeder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Plumpton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105</v>
      </c>
      <c r="D3" s="128">
        <f t="shared" ref="D3:J3" si="1">SUMPRODUCT(D10:D90,MOD(ROW(D10:D90),2)=0)</f>
        <v>11</v>
      </c>
      <c r="E3" s="128">
        <f t="shared" si="1"/>
        <v>5</v>
      </c>
      <c r="F3" s="128">
        <f t="shared" si="1"/>
        <v>2</v>
      </c>
      <c r="G3" s="128">
        <f t="shared" si="1"/>
        <v>1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79</v>
      </c>
      <c r="M3" s="128">
        <f t="shared" ref="M3:S3" si="2">SUMPRODUCT(M10:M90,MOD(ROW(M10:M90),2)=0)</f>
        <v>10</v>
      </c>
      <c r="N3" s="128">
        <f t="shared" si="2"/>
        <v>6</v>
      </c>
      <c r="O3" s="128">
        <f t="shared" si="2"/>
        <v>1</v>
      </c>
      <c r="P3" s="128">
        <f t="shared" si="2"/>
        <v>0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104</v>
      </c>
      <c r="D4" s="133">
        <f t="shared" ref="D4:J4" si="3">SUMPRODUCT(D10:D90,MOD(ROW(D10:D90),2))</f>
        <v>11</v>
      </c>
      <c r="E4" s="133">
        <f t="shared" si="3"/>
        <v>5</v>
      </c>
      <c r="F4" s="133">
        <f t="shared" si="3"/>
        <v>1</v>
      </c>
      <c r="G4" s="133">
        <f t="shared" si="3"/>
        <v>1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134</v>
      </c>
      <c r="M4" s="133">
        <f t="shared" ref="M4:S4" si="4">SUMPRODUCT(M10:M90,MOD(ROW(M10:M90),2))</f>
        <v>14</v>
      </c>
      <c r="N4" s="133">
        <f t="shared" si="4"/>
        <v>2</v>
      </c>
      <c r="O4" s="133">
        <f t="shared" si="4"/>
        <v>1</v>
      </c>
      <c r="P4" s="133">
        <f t="shared" si="4"/>
        <v>3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Mishra %</v>
      </c>
      <c r="D5" s="137">
        <f t="shared" ref="D5:D6" si="6">IFERROR((E3/(E3+D3)),0)</f>
        <v>0.3125</v>
      </c>
      <c r="K5" s="135"/>
      <c r="L5" s="136" t="str">
        <f t="shared" ref="L5:L6" si="7">IFERROR((L10 &amp;" %"), "")</f>
        <v> Albright %</v>
      </c>
      <c r="M5" s="137">
        <f t="shared" ref="M5:M6" si="8">IFERROR((N3/(N3+M3)),0)</f>
        <v>0.375</v>
      </c>
      <c r="S5" s="132"/>
      <c r="T5" s="132"/>
      <c r="U5" s="7"/>
    </row>
    <row r="6">
      <c r="A6" s="14"/>
      <c r="B6" s="138"/>
      <c r="C6" s="139" t="str">
        <f t="shared" si="5"/>
        <v> Bartlett %</v>
      </c>
      <c r="D6" s="140">
        <f t="shared" si="6"/>
        <v>0.3125</v>
      </c>
      <c r="E6" s="141"/>
      <c r="F6" s="141"/>
      <c r="G6" s="141"/>
      <c r="H6" s="141"/>
      <c r="I6" s="141"/>
      <c r="J6" s="141"/>
      <c r="K6" s="138"/>
      <c r="L6" s="139" t="str">
        <f t="shared" si="7"/>
        <v> Wilder %</v>
      </c>
      <c r="M6" s="142">
        <f t="shared" si="8"/>
        <v>0.125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Mishra")</f>
        <v> Mishra</v>
      </c>
      <c r="D10" s="149"/>
      <c r="E10" s="150">
        <v>1.0</v>
      </c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Albright")</f>
        <v> Albright</v>
      </c>
      <c r="M10" s="149">
        <v>1.0</v>
      </c>
      <c r="N10" s="154"/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Bartlett")</f>
        <v> Bartlett</v>
      </c>
      <c r="D11" s="149">
        <v>1.0</v>
      </c>
      <c r="E11" s="154"/>
      <c r="F11" s="151">
        <v>1.0</v>
      </c>
      <c r="G11" s="133"/>
      <c r="H11" s="133"/>
      <c r="I11" s="133"/>
      <c r="J11" s="152"/>
      <c r="K11" s="129">
        <v>1.0</v>
      </c>
      <c r="L11" s="136" t="str">
        <f>IFERROR(__xludf.DUMMYFUNCTION("REGEXEXTRACT(L4, ""( .*)+"")")," Wilder")</f>
        <v> Wilder</v>
      </c>
      <c r="M11" s="149">
        <v>1.0</v>
      </c>
      <c r="N11" s="154"/>
      <c r="O11" s="133"/>
      <c r="P11" s="151">
        <v>1.0</v>
      </c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Mishra</v>
      </c>
      <c r="D12" s="153"/>
      <c r="E12" s="150">
        <v>1.0</v>
      </c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Albright</v>
      </c>
      <c r="M12" s="153"/>
      <c r="N12" s="150">
        <v>1.0</v>
      </c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Bartlett</v>
      </c>
      <c r="D13" s="149"/>
      <c r="E13" s="150">
        <v>1.0</v>
      </c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Wilder</v>
      </c>
      <c r="M13" s="149">
        <v>1.0</v>
      </c>
      <c r="N13" s="157"/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Mishra</v>
      </c>
      <c r="D14" s="149">
        <v>1.0</v>
      </c>
      <c r="E14" s="150"/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Albright</v>
      </c>
      <c r="M14" s="149">
        <v>1.0</v>
      </c>
      <c r="N14" s="157"/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Bartlett</v>
      </c>
      <c r="D15" s="149">
        <v>1.0</v>
      </c>
      <c r="E15" s="150"/>
      <c r="F15" s="133"/>
      <c r="G15" s="151">
        <v>1.0</v>
      </c>
      <c r="H15" s="133"/>
      <c r="I15" s="133"/>
      <c r="J15" s="152"/>
      <c r="K15" s="135">
        <f t="shared" si="11"/>
        <v>3</v>
      </c>
      <c r="L15" s="156" t="str">
        <f t="shared" si="12"/>
        <v> Wilder</v>
      </c>
      <c r="M15" s="149">
        <v>1.0</v>
      </c>
      <c r="N15" s="157"/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Mishra</v>
      </c>
      <c r="D16" s="149">
        <v>1.0</v>
      </c>
      <c r="E16" s="157"/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Albright</v>
      </c>
      <c r="M16" s="149">
        <v>1.0</v>
      </c>
      <c r="N16" s="157"/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Bartlett</v>
      </c>
      <c r="D17" s="149">
        <v>1.0</v>
      </c>
      <c r="E17" s="154"/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Wilder</v>
      </c>
      <c r="M17" s="149">
        <v>1.0</v>
      </c>
      <c r="N17" s="154"/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Mishra</v>
      </c>
      <c r="D18" s="149">
        <v>1.0</v>
      </c>
      <c r="E18" s="154"/>
      <c r="F18" s="151">
        <v>1.0</v>
      </c>
      <c r="G18" s="133"/>
      <c r="H18" s="133"/>
      <c r="I18" s="133"/>
      <c r="J18" s="152"/>
      <c r="K18" s="129">
        <f t="shared" si="11"/>
        <v>5</v>
      </c>
      <c r="L18" s="156" t="str">
        <f t="shared" si="12"/>
        <v> Albright</v>
      </c>
      <c r="M18" s="153"/>
      <c r="N18" s="150">
        <v>1.0</v>
      </c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Bartlett</v>
      </c>
      <c r="D19" s="149"/>
      <c r="E19" s="150">
        <v>1.0</v>
      </c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Wilder</v>
      </c>
      <c r="M19" s="149">
        <v>1.0</v>
      </c>
      <c r="N19" s="154"/>
      <c r="O19" s="133"/>
      <c r="P19" s="133"/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Mishra</v>
      </c>
      <c r="D20" s="158"/>
      <c r="E20" s="150">
        <v>1.0</v>
      </c>
      <c r="F20" s="133"/>
      <c r="G20" s="133"/>
      <c r="H20" s="133"/>
      <c r="I20" s="133"/>
      <c r="J20" s="152"/>
      <c r="K20" s="129">
        <f t="shared" si="11"/>
        <v>6</v>
      </c>
      <c r="L20" s="156" t="str">
        <f t="shared" si="12"/>
        <v> Albright</v>
      </c>
      <c r="M20" s="153"/>
      <c r="N20" s="150">
        <v>1.0</v>
      </c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Bartlett</v>
      </c>
      <c r="D21" s="149">
        <v>1.0</v>
      </c>
      <c r="E21" s="157"/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Wilder</v>
      </c>
      <c r="M21" s="149">
        <v>1.0</v>
      </c>
      <c r="N21" s="157"/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Mishra</v>
      </c>
      <c r="D22" s="149">
        <v>1.0</v>
      </c>
      <c r="E22" s="157"/>
      <c r="F22" s="133"/>
      <c r="G22" s="133"/>
      <c r="H22" s="133"/>
      <c r="I22" s="133"/>
      <c r="J22" s="152"/>
      <c r="K22" s="129">
        <f t="shared" si="11"/>
        <v>7</v>
      </c>
      <c r="L22" s="156" t="str">
        <f t="shared" si="12"/>
        <v> Albright</v>
      </c>
      <c r="M22" s="149">
        <v>1.0</v>
      </c>
      <c r="N22" s="157"/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Bartlett</v>
      </c>
      <c r="D23" s="153"/>
      <c r="E23" s="150">
        <v>1.0</v>
      </c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Wilder</v>
      </c>
      <c r="M23" s="149">
        <v>1.0</v>
      </c>
      <c r="N23" s="157"/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Mishra</v>
      </c>
      <c r="D24" s="153"/>
      <c r="E24" s="150">
        <v>1.0</v>
      </c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Albright</v>
      </c>
      <c r="M24" s="149">
        <v>1.0</v>
      </c>
      <c r="N24" s="157"/>
      <c r="O24" s="133"/>
      <c r="P24" s="133"/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Bartlett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Wilder</v>
      </c>
      <c r="M25" s="149">
        <v>1.0</v>
      </c>
      <c r="N25" s="154"/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Mishra</v>
      </c>
      <c r="D26" s="149">
        <v>1.0</v>
      </c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Albright</v>
      </c>
      <c r="M26" s="149">
        <v>1.0</v>
      </c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Bartlett</v>
      </c>
      <c r="D27" s="153"/>
      <c r="E27" s="150">
        <v>1.0</v>
      </c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Wilder</v>
      </c>
      <c r="M27" s="153"/>
      <c r="N27" s="150">
        <v>1.0</v>
      </c>
      <c r="O27" s="133"/>
      <c r="P27" s="133"/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Mishra</v>
      </c>
      <c r="D28" s="149">
        <v>1.0</v>
      </c>
      <c r="E28" s="157"/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Albright</v>
      </c>
      <c r="M28" s="149">
        <v>1.0</v>
      </c>
      <c r="N28" s="157"/>
      <c r="O28" s="151">
        <v>1.0</v>
      </c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Bartlett</v>
      </c>
      <c r="D29" s="149">
        <v>1.0</v>
      </c>
      <c r="E29" s="157"/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Wilder</v>
      </c>
      <c r="M29" s="149">
        <v>1.0</v>
      </c>
      <c r="N29" s="157"/>
      <c r="O29" s="133"/>
      <c r="P29" s="151">
        <v>1.0</v>
      </c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Mishra</v>
      </c>
      <c r="D30" s="149">
        <v>1.0</v>
      </c>
      <c r="E30" s="157"/>
      <c r="F30" s="133"/>
      <c r="G30" s="133"/>
      <c r="H30" s="133"/>
      <c r="I30" s="133"/>
      <c r="J30" s="152"/>
      <c r="K30" s="129">
        <f t="shared" si="11"/>
        <v>11</v>
      </c>
      <c r="L30" s="156" t="str">
        <f t="shared" si="12"/>
        <v> Albright</v>
      </c>
      <c r="M30" s="153"/>
      <c r="N30" s="150">
        <v>1.0</v>
      </c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Bartlett</v>
      </c>
      <c r="D31" s="153"/>
      <c r="E31" s="150">
        <v>1.0</v>
      </c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Wilder</v>
      </c>
      <c r="M31" s="149">
        <v>1.0</v>
      </c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Mishra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Albright</v>
      </c>
      <c r="M32" s="149"/>
      <c r="N32" s="150">
        <v>1.0</v>
      </c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Bartlett</v>
      </c>
      <c r="D33" s="149">
        <v>1.0</v>
      </c>
      <c r="E33" s="157"/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Wilder</v>
      </c>
      <c r="M33" s="149">
        <v>1.0</v>
      </c>
      <c r="N33" s="154"/>
      <c r="O33" s="133"/>
      <c r="P33" s="151">
        <v>1.0</v>
      </c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Mishra</v>
      </c>
      <c r="D34" s="149">
        <v>1.0</v>
      </c>
      <c r="E34" s="157"/>
      <c r="F34" s="133"/>
      <c r="G34" s="151">
        <v>1.0</v>
      </c>
      <c r="H34" s="133"/>
      <c r="I34" s="133"/>
      <c r="J34" s="152"/>
      <c r="K34" s="129">
        <f t="shared" si="11"/>
        <v>13</v>
      </c>
      <c r="L34" s="156" t="str">
        <f t="shared" si="12"/>
        <v> Albright</v>
      </c>
      <c r="M34" s="149">
        <v>1.0</v>
      </c>
      <c r="N34" s="157"/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Bartlett</v>
      </c>
      <c r="D35" s="149">
        <v>1.0</v>
      </c>
      <c r="E35" s="157"/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 Wilder</v>
      </c>
      <c r="M35" s="149">
        <v>1.0</v>
      </c>
      <c r="N35" s="157"/>
      <c r="O35" s="151">
        <v>1.0</v>
      </c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Mishra</v>
      </c>
      <c r="D36" s="149">
        <v>1.0</v>
      </c>
      <c r="E36" s="157"/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Albright</v>
      </c>
      <c r="M36" s="153"/>
      <c r="N36" s="150">
        <v>1.0</v>
      </c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Bartlett</v>
      </c>
      <c r="D37" s="149">
        <v>1.0</v>
      </c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Wilder</v>
      </c>
      <c r="M37" s="149">
        <v>1.0</v>
      </c>
      <c r="N37" s="157"/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Mishra</v>
      </c>
      <c r="D38" s="149">
        <v>1.0</v>
      </c>
      <c r="E38" s="157"/>
      <c r="F38" s="151">
        <v>1.0</v>
      </c>
      <c r="G38" s="151"/>
      <c r="H38" s="133"/>
      <c r="I38" s="133"/>
      <c r="J38" s="152"/>
      <c r="K38" s="129">
        <f t="shared" si="11"/>
        <v>15</v>
      </c>
      <c r="L38" s="156" t="str">
        <f t="shared" si="12"/>
        <v> Albright</v>
      </c>
      <c r="M38" s="149">
        <v>1.0</v>
      </c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Bartlett</v>
      </c>
      <c r="D39" s="149">
        <v>1.0</v>
      </c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Wilder</v>
      </c>
      <c r="M39" s="153"/>
      <c r="N39" s="150">
        <v>1.0</v>
      </c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Mishra</v>
      </c>
      <c r="D40" s="159"/>
      <c r="E40" s="160">
        <v>1.0</v>
      </c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Albright</v>
      </c>
      <c r="M40" s="149">
        <v>1.0</v>
      </c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Bartlett</v>
      </c>
      <c r="D41" s="159">
        <v>1.0</v>
      </c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Wilder</v>
      </c>
      <c r="M41" s="149">
        <v>1.0</v>
      </c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Mishra</v>
      </c>
      <c r="D42" s="159"/>
      <c r="E42" s="161"/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Albright</v>
      </c>
      <c r="M42" s="153"/>
      <c r="N42" s="157"/>
      <c r="O42" s="133"/>
      <c r="P42" s="133"/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Bartlett</v>
      </c>
      <c r="D43" s="162"/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Wilder</v>
      </c>
      <c r="M43" s="159"/>
      <c r="N43" s="161"/>
      <c r="O43" s="152"/>
      <c r="P43" s="152"/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Mishra</v>
      </c>
      <c r="D44" s="159"/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Albright</v>
      </c>
      <c r="M44" s="159"/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Bartlett</v>
      </c>
      <c r="D45" s="159"/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Wilder</v>
      </c>
      <c r="M45" s="159"/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Mishra</v>
      </c>
      <c r="D46" s="159"/>
      <c r="E46" s="161"/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Albright</v>
      </c>
      <c r="M46" s="159"/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Bartlett</v>
      </c>
      <c r="D47" s="159"/>
      <c r="E47" s="161"/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Wilder</v>
      </c>
      <c r="M47" s="159"/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Mishra</v>
      </c>
      <c r="D48" s="159"/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Albright</v>
      </c>
      <c r="M48" s="162"/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Bartlett</v>
      </c>
      <c r="D49" s="162"/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Wilder</v>
      </c>
      <c r="M49" s="159"/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Mishra</v>
      </c>
      <c r="D50" s="159"/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Albright</v>
      </c>
      <c r="M50" s="159"/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Bartlett</v>
      </c>
      <c r="D51" s="159"/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Wilder</v>
      </c>
      <c r="M51" s="159"/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Mishra</v>
      </c>
      <c r="D52" s="162"/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Albright</v>
      </c>
      <c r="M52" s="162"/>
      <c r="N52" s="161"/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Bartlett</v>
      </c>
      <c r="D53" s="162"/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Wilder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Mishra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Albright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Bartlett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Wilder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Mishra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Albright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Bartlett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Wilder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Mishra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Albright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Bartlett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Wilder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Mishra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Albright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Bartlett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Wilder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Mishra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Albright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Bartlett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Wilder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Mishra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Albright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Bartlett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Wilder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Mishra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Albright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Bartlett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Wilder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Mishra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Albright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Bartlett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Wilder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Mishra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Albright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Bartlett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Wilder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Mishra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Albright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Bartlett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Wilder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Mishra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Albright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Bartlett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Wilder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Mishra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Albright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Bartlett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Wilder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Mishra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Albright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Bartlett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Wilder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Mishra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Albright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Bartlett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Wilder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Mishra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Albright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Bartlett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Wilder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Mishra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Albright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Bartlett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Wilder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Mishra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Albright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Bartlett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Wilder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Mishra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Albright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Bartlett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Wilder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114</v>
      </c>
      <c r="D3" s="128">
        <f t="shared" ref="D3:J3" si="1">SUMPRODUCT(D10:D90,MOD(ROW(D10:D90),2)=0)</f>
        <v>16</v>
      </c>
      <c r="E3" s="128">
        <f t="shared" si="1"/>
        <v>5</v>
      </c>
      <c r="F3" s="128">
        <f t="shared" si="1"/>
        <v>0</v>
      </c>
      <c r="G3" s="128">
        <f t="shared" si="1"/>
        <v>2</v>
      </c>
      <c r="H3" s="128">
        <f t="shared" si="1"/>
        <v>0</v>
      </c>
      <c r="I3" s="128">
        <f t="shared" si="1"/>
        <v>0</v>
      </c>
      <c r="J3" s="128">
        <f t="shared" si="1"/>
        <v>1</v>
      </c>
      <c r="K3" s="129" t="s">
        <v>178</v>
      </c>
      <c r="L3" s="130" t="s">
        <v>130</v>
      </c>
      <c r="M3" s="128">
        <f t="shared" ref="M3:S3" si="2">SUMPRODUCT(M10:M90,MOD(ROW(M10:M90),2)=0)</f>
        <v>16</v>
      </c>
      <c r="N3" s="128">
        <f t="shared" si="2"/>
        <v>6</v>
      </c>
      <c r="O3" s="128">
        <f t="shared" si="2"/>
        <v>0</v>
      </c>
      <c r="P3" s="128">
        <f t="shared" si="2"/>
        <v>2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103</v>
      </c>
      <c r="D4" s="133">
        <f t="shared" ref="D4:J4" si="3">SUMPRODUCT(D10:D90,MOD(ROW(D10:D90),2))</f>
        <v>20</v>
      </c>
      <c r="E4" s="133">
        <f t="shared" si="3"/>
        <v>2</v>
      </c>
      <c r="F4" s="133">
        <f t="shared" si="3"/>
        <v>0</v>
      </c>
      <c r="G4" s="133">
        <f t="shared" si="3"/>
        <v>1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129</v>
      </c>
      <c r="M4" s="133">
        <f t="shared" ref="M4:S4" si="4">SUMPRODUCT(M10:M90,MOD(ROW(M10:M90),2))</f>
        <v>17</v>
      </c>
      <c r="N4" s="133">
        <f t="shared" si="4"/>
        <v>4</v>
      </c>
      <c r="O4" s="133">
        <f t="shared" si="4"/>
        <v>0</v>
      </c>
      <c r="P4" s="133">
        <f t="shared" si="4"/>
        <v>3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Montero %</v>
      </c>
      <c r="D5" s="137">
        <f t="shared" ref="D5:D6" si="6">IFERROR((E3/(E3+D3)),0)</f>
        <v>0.2380952381</v>
      </c>
      <c r="K5" s="135"/>
      <c r="L5" s="136" t="str">
        <f t="shared" ref="L5:L6" si="7">IFERROR((L10 &amp;" %"), "")</f>
        <v> Mullen %</v>
      </c>
      <c r="M5" s="137">
        <f t="shared" ref="M5:M6" si="8">IFERROR((N3/(N3+M3)),0)</f>
        <v>0.2727272727</v>
      </c>
      <c r="S5" s="132"/>
      <c r="T5" s="132"/>
      <c r="U5" s="7"/>
    </row>
    <row r="6">
      <c r="A6" s="14"/>
      <c r="B6" s="138"/>
      <c r="C6" s="139" t="str">
        <f t="shared" si="5"/>
        <v> Bonnstetter %</v>
      </c>
      <c r="D6" s="140">
        <f t="shared" si="6"/>
        <v>0.09090909091</v>
      </c>
      <c r="E6" s="141"/>
      <c r="F6" s="141"/>
      <c r="G6" s="141"/>
      <c r="H6" s="141"/>
      <c r="I6" s="141"/>
      <c r="J6" s="141"/>
      <c r="K6" s="138"/>
      <c r="L6" s="139" t="str">
        <f t="shared" si="7"/>
        <v> Bashour %</v>
      </c>
      <c r="M6" s="142">
        <f t="shared" si="8"/>
        <v>0.1904761905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Montero")</f>
        <v> Montero</v>
      </c>
      <c r="D10" s="149">
        <v>1.0</v>
      </c>
      <c r="E10" s="150"/>
      <c r="F10" s="151"/>
      <c r="G10" s="151"/>
      <c r="H10" s="151"/>
      <c r="I10" s="151"/>
      <c r="J10" s="152"/>
      <c r="K10" s="129">
        <v>1.0</v>
      </c>
      <c r="L10" s="136" t="str">
        <f>IFERROR(__xludf.DUMMYFUNCTION("REGEXEXTRACT(L3, ""( .*)+"")")," Mullen")</f>
        <v> Mullen</v>
      </c>
      <c r="M10" s="149">
        <v>1.0</v>
      </c>
      <c r="N10" s="154"/>
      <c r="O10" s="133"/>
      <c r="P10" s="155"/>
      <c r="Q10" s="133"/>
      <c r="R10" s="133"/>
      <c r="S10" s="152"/>
      <c r="T10" s="132"/>
      <c r="U10" s="7"/>
    </row>
    <row r="11">
      <c r="A11" s="8"/>
      <c r="B11" s="129">
        <v>1.0</v>
      </c>
      <c r="C11" s="136" t="str">
        <f>IFERROR(__xludf.DUMMYFUNCTION("REGEXEXTRACT(C4, ""( .*)+"")")," Bonnstetter")</f>
        <v> Bonnstetter</v>
      </c>
      <c r="D11" s="149">
        <v>1.0</v>
      </c>
      <c r="E11" s="154"/>
      <c r="F11" s="133"/>
      <c r="G11" s="133"/>
      <c r="H11" s="133"/>
      <c r="I11" s="133"/>
      <c r="J11" s="152"/>
      <c r="K11" s="129">
        <v>1.0</v>
      </c>
      <c r="L11" s="136" t="str">
        <f>IFERROR(__xludf.DUMMYFUNCTION("REGEXEXTRACT(L4, ""( .*)+"")")," Bashour")</f>
        <v> Bashour</v>
      </c>
      <c r="M11" s="149">
        <v>1.0</v>
      </c>
      <c r="N11" s="154"/>
      <c r="O11" s="133"/>
      <c r="P11" s="133"/>
      <c r="Q11" s="133"/>
      <c r="R11" s="133"/>
      <c r="S11" s="152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Montero</v>
      </c>
      <c r="D12" s="153"/>
      <c r="E12" s="150">
        <v>1.0</v>
      </c>
      <c r="F12" s="133"/>
      <c r="G12" s="133"/>
      <c r="H12" s="133"/>
      <c r="I12" s="133"/>
      <c r="J12" s="152"/>
      <c r="K12" s="129">
        <f t="shared" ref="K12:K69" si="11">K10+1</f>
        <v>2</v>
      </c>
      <c r="L12" s="156" t="str">
        <f t="shared" ref="L12:L89" si="12">L10</f>
        <v> Mullen</v>
      </c>
      <c r="M12" s="153"/>
      <c r="N12" s="150">
        <v>1.0</v>
      </c>
      <c r="O12" s="133"/>
      <c r="P12" s="133"/>
      <c r="Q12" s="133"/>
      <c r="R12" s="133"/>
      <c r="S12" s="152"/>
      <c r="T12" s="132"/>
      <c r="U12" s="7"/>
    </row>
    <row r="13">
      <c r="A13" s="14"/>
      <c r="B13" s="135">
        <f t="shared" si="9"/>
        <v>2</v>
      </c>
      <c r="C13" s="156" t="str">
        <f t="shared" si="10"/>
        <v> Bonnstetter</v>
      </c>
      <c r="D13" s="149">
        <v>1.0</v>
      </c>
      <c r="E13" s="154"/>
      <c r="F13" s="133"/>
      <c r="G13" s="133"/>
      <c r="H13" s="133"/>
      <c r="I13" s="133"/>
      <c r="J13" s="152"/>
      <c r="K13" s="135">
        <f t="shared" si="11"/>
        <v>2</v>
      </c>
      <c r="L13" s="156" t="str">
        <f t="shared" si="12"/>
        <v> Bashour</v>
      </c>
      <c r="M13" s="149">
        <v>1.0</v>
      </c>
      <c r="N13" s="157"/>
      <c r="O13" s="133"/>
      <c r="P13" s="133"/>
      <c r="Q13" s="133"/>
      <c r="R13" s="133"/>
      <c r="S13" s="152"/>
      <c r="T13" s="132"/>
      <c r="U13" s="7"/>
    </row>
    <row r="14">
      <c r="A14" s="8"/>
      <c r="B14" s="129">
        <f t="shared" si="9"/>
        <v>3</v>
      </c>
      <c r="C14" s="156" t="str">
        <f t="shared" si="10"/>
        <v> Montero</v>
      </c>
      <c r="D14" s="149">
        <v>1.0</v>
      </c>
      <c r="E14" s="150"/>
      <c r="F14" s="133"/>
      <c r="G14" s="133"/>
      <c r="H14" s="133"/>
      <c r="I14" s="133"/>
      <c r="J14" s="152"/>
      <c r="K14" s="129">
        <f t="shared" si="11"/>
        <v>3</v>
      </c>
      <c r="L14" s="156" t="str">
        <f t="shared" si="12"/>
        <v> Mullen</v>
      </c>
      <c r="M14" s="149">
        <v>1.0</v>
      </c>
      <c r="N14" s="157"/>
      <c r="O14" s="133"/>
      <c r="P14" s="133"/>
      <c r="Q14" s="133"/>
      <c r="R14" s="133"/>
      <c r="S14" s="152"/>
      <c r="T14" s="132"/>
      <c r="U14" s="7"/>
    </row>
    <row r="15">
      <c r="A15" s="14"/>
      <c r="B15" s="135">
        <f t="shared" si="9"/>
        <v>3</v>
      </c>
      <c r="C15" s="156" t="str">
        <f t="shared" si="10"/>
        <v> Bonnstetter</v>
      </c>
      <c r="D15" s="149">
        <v>1.0</v>
      </c>
      <c r="E15" s="150"/>
      <c r="F15" s="133"/>
      <c r="G15" s="151">
        <v>1.0</v>
      </c>
      <c r="H15" s="133"/>
      <c r="I15" s="133"/>
      <c r="J15" s="152"/>
      <c r="K15" s="135">
        <f t="shared" si="11"/>
        <v>3</v>
      </c>
      <c r="L15" s="156" t="str">
        <f t="shared" si="12"/>
        <v> Bashour</v>
      </c>
      <c r="M15" s="153"/>
      <c r="N15" s="150">
        <v>1.0</v>
      </c>
      <c r="O15" s="133"/>
      <c r="P15" s="133"/>
      <c r="Q15" s="133"/>
      <c r="R15" s="133"/>
      <c r="S15" s="152"/>
      <c r="T15" s="132"/>
      <c r="U15" s="7"/>
    </row>
    <row r="16">
      <c r="A16" s="8"/>
      <c r="B16" s="129">
        <f t="shared" si="9"/>
        <v>4</v>
      </c>
      <c r="C16" s="156" t="str">
        <f t="shared" si="10"/>
        <v> Montero</v>
      </c>
      <c r="D16" s="153"/>
      <c r="E16" s="150">
        <v>1.0</v>
      </c>
      <c r="F16" s="133"/>
      <c r="G16" s="133"/>
      <c r="H16" s="133"/>
      <c r="I16" s="133"/>
      <c r="J16" s="152"/>
      <c r="K16" s="129">
        <f t="shared" si="11"/>
        <v>4</v>
      </c>
      <c r="L16" s="156" t="str">
        <f t="shared" si="12"/>
        <v> Mullen</v>
      </c>
      <c r="M16" s="153"/>
      <c r="N16" s="150">
        <v>1.0</v>
      </c>
      <c r="O16" s="133"/>
      <c r="P16" s="133"/>
      <c r="Q16" s="133"/>
      <c r="R16" s="133"/>
      <c r="S16" s="152"/>
      <c r="T16" s="132"/>
      <c r="U16" s="7"/>
    </row>
    <row r="17">
      <c r="A17" s="14"/>
      <c r="B17" s="135">
        <f t="shared" si="9"/>
        <v>4</v>
      </c>
      <c r="C17" s="156" t="str">
        <f t="shared" si="10"/>
        <v> Bonnstetter</v>
      </c>
      <c r="D17" s="149">
        <v>1.0</v>
      </c>
      <c r="E17" s="154"/>
      <c r="F17" s="133"/>
      <c r="G17" s="133"/>
      <c r="H17" s="133"/>
      <c r="I17" s="133"/>
      <c r="J17" s="152"/>
      <c r="K17" s="135">
        <f t="shared" si="11"/>
        <v>4</v>
      </c>
      <c r="L17" s="156" t="str">
        <f t="shared" si="12"/>
        <v> Bashour</v>
      </c>
      <c r="M17" s="149">
        <v>1.0</v>
      </c>
      <c r="N17" s="154"/>
      <c r="O17" s="133"/>
      <c r="P17" s="133"/>
      <c r="Q17" s="133"/>
      <c r="R17" s="133"/>
      <c r="S17" s="152"/>
      <c r="T17" s="132"/>
      <c r="U17" s="7"/>
    </row>
    <row r="18">
      <c r="A18" s="8"/>
      <c r="B18" s="129">
        <f t="shared" si="9"/>
        <v>5</v>
      </c>
      <c r="C18" s="156" t="str">
        <f t="shared" si="10"/>
        <v> Montero</v>
      </c>
      <c r="D18" s="149">
        <v>1.0</v>
      </c>
      <c r="E18" s="154"/>
      <c r="F18" s="133"/>
      <c r="G18" s="133"/>
      <c r="H18" s="133"/>
      <c r="I18" s="133"/>
      <c r="J18" s="152"/>
      <c r="K18" s="129">
        <f t="shared" si="11"/>
        <v>5</v>
      </c>
      <c r="L18" s="156" t="str">
        <f t="shared" si="12"/>
        <v> Mullen</v>
      </c>
      <c r="M18" s="149">
        <v>1.0</v>
      </c>
      <c r="N18" s="157"/>
      <c r="O18" s="133"/>
      <c r="P18" s="133"/>
      <c r="Q18" s="133"/>
      <c r="R18" s="133"/>
      <c r="S18" s="152"/>
      <c r="T18" s="132"/>
      <c r="U18" s="7"/>
    </row>
    <row r="19">
      <c r="A19" s="14"/>
      <c r="B19" s="135">
        <f t="shared" si="9"/>
        <v>5</v>
      </c>
      <c r="C19" s="156" t="str">
        <f t="shared" si="10"/>
        <v> Bonnstetter</v>
      </c>
      <c r="D19" s="153"/>
      <c r="E19" s="150">
        <v>1.0</v>
      </c>
      <c r="F19" s="133"/>
      <c r="G19" s="133"/>
      <c r="H19" s="133"/>
      <c r="I19" s="133"/>
      <c r="J19" s="152"/>
      <c r="K19" s="135">
        <f t="shared" si="11"/>
        <v>5</v>
      </c>
      <c r="L19" s="156" t="str">
        <f t="shared" si="12"/>
        <v> Bashour</v>
      </c>
      <c r="M19" s="149">
        <v>1.0</v>
      </c>
      <c r="N19" s="154"/>
      <c r="O19" s="133"/>
      <c r="P19" s="151">
        <v>1.0</v>
      </c>
      <c r="Q19" s="133"/>
      <c r="R19" s="133"/>
      <c r="S19" s="152"/>
      <c r="T19" s="132"/>
      <c r="U19" s="7"/>
    </row>
    <row r="20">
      <c r="A20" s="8"/>
      <c r="B20" s="129">
        <f t="shared" si="9"/>
        <v>6</v>
      </c>
      <c r="C20" s="156" t="str">
        <f t="shared" si="10"/>
        <v> Montero</v>
      </c>
      <c r="D20" s="149">
        <v>1.0</v>
      </c>
      <c r="E20" s="154"/>
      <c r="F20" s="133"/>
      <c r="G20" s="151">
        <v>1.0</v>
      </c>
      <c r="H20" s="133"/>
      <c r="I20" s="133"/>
      <c r="J20" s="152"/>
      <c r="K20" s="129">
        <f t="shared" si="11"/>
        <v>6</v>
      </c>
      <c r="L20" s="156" t="str">
        <f t="shared" si="12"/>
        <v> Mullen</v>
      </c>
      <c r="M20" s="149">
        <v>1.0</v>
      </c>
      <c r="N20" s="157"/>
      <c r="O20" s="133"/>
      <c r="P20" s="133"/>
      <c r="Q20" s="133"/>
      <c r="R20" s="133"/>
      <c r="S20" s="152"/>
      <c r="T20" s="132"/>
      <c r="U20" s="7"/>
    </row>
    <row r="21">
      <c r="A21" s="14"/>
      <c r="B21" s="135">
        <f t="shared" si="9"/>
        <v>6</v>
      </c>
      <c r="C21" s="156" t="str">
        <f t="shared" si="10"/>
        <v> Bonnstetter</v>
      </c>
      <c r="D21" s="149">
        <v>1.0</v>
      </c>
      <c r="E21" s="157"/>
      <c r="F21" s="133"/>
      <c r="G21" s="133"/>
      <c r="H21" s="133"/>
      <c r="I21" s="133"/>
      <c r="J21" s="152"/>
      <c r="K21" s="135">
        <f t="shared" si="11"/>
        <v>6</v>
      </c>
      <c r="L21" s="156" t="str">
        <f t="shared" si="12"/>
        <v> Bashour</v>
      </c>
      <c r="M21" s="149">
        <v>1.0</v>
      </c>
      <c r="N21" s="157"/>
      <c r="O21" s="133"/>
      <c r="P21" s="133"/>
      <c r="Q21" s="133"/>
      <c r="R21" s="133"/>
      <c r="S21" s="152"/>
      <c r="T21" s="132"/>
      <c r="U21" s="7"/>
    </row>
    <row r="22">
      <c r="A22" s="8"/>
      <c r="B22" s="129">
        <f t="shared" si="9"/>
        <v>7</v>
      </c>
      <c r="C22" s="156" t="str">
        <f t="shared" si="10"/>
        <v> Montero</v>
      </c>
      <c r="D22" s="153"/>
      <c r="E22" s="157"/>
      <c r="F22" s="133"/>
      <c r="G22" s="133"/>
      <c r="H22" s="133"/>
      <c r="I22" s="133"/>
      <c r="J22" s="175">
        <v>1.0</v>
      </c>
      <c r="K22" s="129">
        <f t="shared" si="11"/>
        <v>7</v>
      </c>
      <c r="L22" s="156" t="str">
        <f t="shared" si="12"/>
        <v> Mullen</v>
      </c>
      <c r="M22" s="153"/>
      <c r="N22" s="150">
        <v>1.0</v>
      </c>
      <c r="O22" s="133"/>
      <c r="P22" s="133"/>
      <c r="Q22" s="133"/>
      <c r="R22" s="133"/>
      <c r="S22" s="152"/>
      <c r="T22" s="132"/>
      <c r="U22" s="7"/>
    </row>
    <row r="23">
      <c r="A23" s="14"/>
      <c r="B23" s="135">
        <f t="shared" si="9"/>
        <v>7</v>
      </c>
      <c r="C23" s="156" t="str">
        <f t="shared" si="10"/>
        <v> Bonnstetter</v>
      </c>
      <c r="D23" s="149">
        <v>1.0</v>
      </c>
      <c r="E23" s="157"/>
      <c r="F23" s="133"/>
      <c r="G23" s="133"/>
      <c r="H23" s="133"/>
      <c r="I23" s="133"/>
      <c r="J23" s="152"/>
      <c r="K23" s="135">
        <f t="shared" si="11"/>
        <v>7</v>
      </c>
      <c r="L23" s="156" t="str">
        <f t="shared" si="12"/>
        <v> Bashour</v>
      </c>
      <c r="M23" s="153"/>
      <c r="N23" s="150">
        <v>1.0</v>
      </c>
      <c r="O23" s="133"/>
      <c r="P23" s="133"/>
      <c r="Q23" s="133"/>
      <c r="R23" s="133"/>
      <c r="S23" s="152"/>
      <c r="T23" s="132"/>
      <c r="U23" s="7"/>
    </row>
    <row r="24">
      <c r="A24" s="8"/>
      <c r="B24" s="129">
        <f t="shared" si="9"/>
        <v>8</v>
      </c>
      <c r="C24" s="156" t="str">
        <f t="shared" si="10"/>
        <v> Montero</v>
      </c>
      <c r="D24" s="149">
        <v>1.0</v>
      </c>
      <c r="E24" s="157"/>
      <c r="F24" s="133"/>
      <c r="G24" s="133"/>
      <c r="H24" s="133"/>
      <c r="I24" s="133"/>
      <c r="J24" s="152"/>
      <c r="K24" s="129">
        <f t="shared" si="11"/>
        <v>8</v>
      </c>
      <c r="L24" s="156" t="str">
        <f t="shared" si="12"/>
        <v> Mullen</v>
      </c>
      <c r="M24" s="149">
        <v>1.0</v>
      </c>
      <c r="N24" s="157"/>
      <c r="O24" s="133"/>
      <c r="P24" s="151">
        <v>1.0</v>
      </c>
      <c r="Q24" s="133"/>
      <c r="R24" s="133"/>
      <c r="S24" s="152"/>
      <c r="T24" s="132"/>
      <c r="U24" s="7"/>
    </row>
    <row r="25">
      <c r="A25" s="14"/>
      <c r="B25" s="135">
        <f t="shared" si="9"/>
        <v>8</v>
      </c>
      <c r="C25" s="156" t="str">
        <f t="shared" si="10"/>
        <v> Bonnstetter</v>
      </c>
      <c r="D25" s="149">
        <v>1.0</v>
      </c>
      <c r="E25" s="157"/>
      <c r="F25" s="133"/>
      <c r="G25" s="133"/>
      <c r="H25" s="133"/>
      <c r="I25" s="133"/>
      <c r="J25" s="152"/>
      <c r="K25" s="135">
        <f t="shared" si="11"/>
        <v>8</v>
      </c>
      <c r="L25" s="156" t="str">
        <f t="shared" si="12"/>
        <v> Bashour</v>
      </c>
      <c r="M25" s="158"/>
      <c r="N25" s="150">
        <v>1.0</v>
      </c>
      <c r="O25" s="133"/>
      <c r="P25" s="133"/>
      <c r="Q25" s="133"/>
      <c r="R25" s="133"/>
      <c r="S25" s="152"/>
      <c r="T25" s="132"/>
      <c r="U25" s="7"/>
    </row>
    <row r="26">
      <c r="A26" s="8"/>
      <c r="B26" s="129">
        <f t="shared" si="9"/>
        <v>9</v>
      </c>
      <c r="C26" s="156" t="str">
        <f t="shared" si="10"/>
        <v> Montero</v>
      </c>
      <c r="D26" s="149">
        <v>1.0</v>
      </c>
      <c r="E26" s="157"/>
      <c r="F26" s="133"/>
      <c r="G26" s="133"/>
      <c r="H26" s="133"/>
      <c r="I26" s="133"/>
      <c r="J26" s="152"/>
      <c r="K26" s="129">
        <f t="shared" si="11"/>
        <v>9</v>
      </c>
      <c r="L26" s="156" t="str">
        <f t="shared" si="12"/>
        <v> Mullen</v>
      </c>
      <c r="M26" s="149">
        <v>1.0</v>
      </c>
      <c r="N26" s="157"/>
      <c r="O26" s="133"/>
      <c r="P26" s="133"/>
      <c r="Q26" s="133"/>
      <c r="R26" s="133"/>
      <c r="S26" s="152"/>
      <c r="T26" s="132"/>
      <c r="U26" s="7"/>
    </row>
    <row r="27">
      <c r="A27" s="14"/>
      <c r="B27" s="135">
        <f t="shared" si="9"/>
        <v>9</v>
      </c>
      <c r="C27" s="156" t="str">
        <f t="shared" si="10"/>
        <v> Bonnstetter</v>
      </c>
      <c r="D27" s="149">
        <v>1.0</v>
      </c>
      <c r="E27" s="157"/>
      <c r="F27" s="133"/>
      <c r="G27" s="133"/>
      <c r="H27" s="133"/>
      <c r="I27" s="133"/>
      <c r="J27" s="152"/>
      <c r="K27" s="135">
        <f t="shared" si="11"/>
        <v>9</v>
      </c>
      <c r="L27" s="156" t="str">
        <f t="shared" si="12"/>
        <v> Bashour</v>
      </c>
      <c r="M27" s="149">
        <v>1.0</v>
      </c>
      <c r="N27" s="157"/>
      <c r="O27" s="133"/>
      <c r="P27" s="151">
        <v>1.0</v>
      </c>
      <c r="Q27" s="133"/>
      <c r="R27" s="133"/>
      <c r="S27" s="152"/>
      <c r="T27" s="132"/>
      <c r="U27" s="7"/>
    </row>
    <row r="28">
      <c r="A28" s="8"/>
      <c r="B28" s="129">
        <f t="shared" si="9"/>
        <v>10</v>
      </c>
      <c r="C28" s="156" t="str">
        <f t="shared" si="10"/>
        <v> Montero</v>
      </c>
      <c r="D28" s="149">
        <v>1.0</v>
      </c>
      <c r="E28" s="157"/>
      <c r="F28" s="133"/>
      <c r="G28" s="133"/>
      <c r="H28" s="133"/>
      <c r="I28" s="133"/>
      <c r="J28" s="152"/>
      <c r="K28" s="129">
        <f t="shared" si="11"/>
        <v>10</v>
      </c>
      <c r="L28" s="156" t="str">
        <f t="shared" si="12"/>
        <v> Mullen</v>
      </c>
      <c r="M28" s="149">
        <v>1.0</v>
      </c>
      <c r="N28" s="157"/>
      <c r="O28" s="133"/>
      <c r="P28" s="133"/>
      <c r="Q28" s="133"/>
      <c r="R28" s="133"/>
      <c r="S28" s="152"/>
      <c r="T28" s="132"/>
      <c r="U28" s="7"/>
    </row>
    <row r="29">
      <c r="A29" s="14"/>
      <c r="B29" s="135">
        <f t="shared" si="9"/>
        <v>10</v>
      </c>
      <c r="C29" s="156" t="str">
        <f t="shared" si="10"/>
        <v> Bonnstetter</v>
      </c>
      <c r="D29" s="149">
        <v>1.0</v>
      </c>
      <c r="E29" s="157"/>
      <c r="F29" s="133"/>
      <c r="G29" s="133"/>
      <c r="H29" s="133"/>
      <c r="I29" s="133"/>
      <c r="J29" s="152"/>
      <c r="K29" s="135">
        <f t="shared" si="11"/>
        <v>10</v>
      </c>
      <c r="L29" s="156" t="str">
        <f t="shared" si="12"/>
        <v> Bashour</v>
      </c>
      <c r="M29" s="149">
        <v>1.0</v>
      </c>
      <c r="N29" s="157"/>
      <c r="O29" s="133"/>
      <c r="P29" s="133"/>
      <c r="Q29" s="133"/>
      <c r="R29" s="133"/>
      <c r="S29" s="152"/>
      <c r="T29" s="132"/>
      <c r="U29" s="7"/>
    </row>
    <row r="30">
      <c r="A30" s="8"/>
      <c r="B30" s="129">
        <f t="shared" si="9"/>
        <v>11</v>
      </c>
      <c r="C30" s="156" t="str">
        <f t="shared" si="10"/>
        <v> Montero</v>
      </c>
      <c r="D30" s="149">
        <v>1.0</v>
      </c>
      <c r="E30" s="157"/>
      <c r="F30" s="133"/>
      <c r="G30" s="151">
        <v>1.0</v>
      </c>
      <c r="H30" s="133"/>
      <c r="I30" s="133"/>
      <c r="J30" s="152"/>
      <c r="K30" s="129">
        <f t="shared" si="11"/>
        <v>11</v>
      </c>
      <c r="L30" s="156" t="str">
        <f t="shared" si="12"/>
        <v> Mullen</v>
      </c>
      <c r="M30" s="153"/>
      <c r="N30" s="150">
        <v>1.0</v>
      </c>
      <c r="O30" s="133"/>
      <c r="P30" s="133"/>
      <c r="Q30" s="133"/>
      <c r="R30" s="133"/>
      <c r="S30" s="152"/>
      <c r="T30" s="132"/>
      <c r="U30" s="7"/>
    </row>
    <row r="31">
      <c r="A31" s="14"/>
      <c r="B31" s="135">
        <f t="shared" si="9"/>
        <v>11</v>
      </c>
      <c r="C31" s="156" t="str">
        <f t="shared" si="10"/>
        <v> Bonnstetter</v>
      </c>
      <c r="D31" s="149">
        <v>1.0</v>
      </c>
      <c r="E31" s="157"/>
      <c r="F31" s="133"/>
      <c r="G31" s="133"/>
      <c r="H31" s="133"/>
      <c r="I31" s="133"/>
      <c r="J31" s="152"/>
      <c r="K31" s="135">
        <f t="shared" si="11"/>
        <v>11</v>
      </c>
      <c r="L31" s="156" t="str">
        <f t="shared" si="12"/>
        <v> Bashour</v>
      </c>
      <c r="M31" s="149">
        <v>1.0</v>
      </c>
      <c r="N31" s="154"/>
      <c r="O31" s="133"/>
      <c r="P31" s="133"/>
      <c r="Q31" s="133"/>
      <c r="R31" s="133"/>
      <c r="S31" s="152"/>
      <c r="T31" s="132"/>
      <c r="U31" s="7"/>
    </row>
    <row r="32">
      <c r="A32" s="8"/>
      <c r="B32" s="129">
        <f t="shared" si="9"/>
        <v>12</v>
      </c>
      <c r="C32" s="156" t="str">
        <f t="shared" si="10"/>
        <v> Montero</v>
      </c>
      <c r="D32" s="149">
        <v>1.0</v>
      </c>
      <c r="E32" s="157"/>
      <c r="F32" s="133"/>
      <c r="G32" s="133"/>
      <c r="H32" s="133"/>
      <c r="I32" s="133"/>
      <c r="J32" s="152"/>
      <c r="K32" s="129">
        <f t="shared" si="11"/>
        <v>12</v>
      </c>
      <c r="L32" s="156" t="str">
        <f t="shared" si="12"/>
        <v> Mullen</v>
      </c>
      <c r="M32" s="149">
        <v>1.0</v>
      </c>
      <c r="N32" s="157"/>
      <c r="O32" s="133"/>
      <c r="P32" s="133"/>
      <c r="Q32" s="133"/>
      <c r="R32" s="133"/>
      <c r="S32" s="152"/>
      <c r="T32" s="132"/>
      <c r="U32" s="7"/>
    </row>
    <row r="33">
      <c r="A33" s="14"/>
      <c r="B33" s="135">
        <f t="shared" si="9"/>
        <v>12</v>
      </c>
      <c r="C33" s="156" t="str">
        <f t="shared" si="10"/>
        <v> Bonnstetter</v>
      </c>
      <c r="D33" s="149">
        <v>1.0</v>
      </c>
      <c r="E33" s="157"/>
      <c r="F33" s="133"/>
      <c r="G33" s="133"/>
      <c r="H33" s="133"/>
      <c r="I33" s="133"/>
      <c r="J33" s="152"/>
      <c r="K33" s="135">
        <f t="shared" si="11"/>
        <v>12</v>
      </c>
      <c r="L33" s="156" t="str">
        <f t="shared" si="12"/>
        <v> Bashour</v>
      </c>
      <c r="M33" s="149">
        <v>1.0</v>
      </c>
      <c r="N33" s="154"/>
      <c r="O33" s="133"/>
      <c r="P33" s="133"/>
      <c r="Q33" s="133"/>
      <c r="R33" s="133"/>
      <c r="S33" s="152"/>
      <c r="T33" s="132"/>
      <c r="U33" s="7"/>
    </row>
    <row r="34">
      <c r="A34" s="8"/>
      <c r="B34" s="129">
        <f t="shared" si="9"/>
        <v>13</v>
      </c>
      <c r="C34" s="156" t="str">
        <f t="shared" si="10"/>
        <v> Montero</v>
      </c>
      <c r="D34" s="149">
        <v>1.0</v>
      </c>
      <c r="E34" s="157"/>
      <c r="F34" s="133"/>
      <c r="G34" s="133"/>
      <c r="H34" s="133"/>
      <c r="I34" s="133"/>
      <c r="J34" s="152"/>
      <c r="K34" s="129">
        <f t="shared" si="11"/>
        <v>13</v>
      </c>
      <c r="L34" s="156" t="str">
        <f t="shared" si="12"/>
        <v> Mullen</v>
      </c>
      <c r="M34" s="153"/>
      <c r="N34" s="150">
        <v>1.0</v>
      </c>
      <c r="O34" s="133"/>
      <c r="P34" s="133"/>
      <c r="Q34" s="133"/>
      <c r="R34" s="133"/>
      <c r="S34" s="152"/>
      <c r="T34" s="132"/>
      <c r="U34" s="7"/>
    </row>
    <row r="35">
      <c r="A35" s="14"/>
      <c r="B35" s="135">
        <f t="shared" si="9"/>
        <v>13</v>
      </c>
      <c r="C35" s="156" t="str">
        <f t="shared" si="10"/>
        <v> Bonnstetter</v>
      </c>
      <c r="D35" s="149">
        <v>1.0</v>
      </c>
      <c r="E35" s="157"/>
      <c r="F35" s="133"/>
      <c r="G35" s="133"/>
      <c r="H35" s="133"/>
      <c r="I35" s="133"/>
      <c r="J35" s="152"/>
      <c r="K35" s="135">
        <f t="shared" si="11"/>
        <v>13</v>
      </c>
      <c r="L35" s="156" t="str">
        <f t="shared" si="12"/>
        <v> Bashour</v>
      </c>
      <c r="M35" s="149">
        <v>1.0</v>
      </c>
      <c r="N35" s="157"/>
      <c r="O35" s="133"/>
      <c r="P35" s="133"/>
      <c r="Q35" s="133"/>
      <c r="R35" s="133"/>
      <c r="S35" s="152"/>
      <c r="T35" s="132"/>
      <c r="U35" s="7"/>
    </row>
    <row r="36">
      <c r="A36" s="8"/>
      <c r="B36" s="129">
        <f t="shared" si="9"/>
        <v>14</v>
      </c>
      <c r="C36" s="156" t="str">
        <f t="shared" si="10"/>
        <v> Montero</v>
      </c>
      <c r="D36" s="153"/>
      <c r="E36" s="150">
        <v>1.0</v>
      </c>
      <c r="F36" s="133"/>
      <c r="G36" s="133"/>
      <c r="H36" s="133"/>
      <c r="I36" s="133"/>
      <c r="J36" s="152"/>
      <c r="K36" s="129">
        <f t="shared" si="11"/>
        <v>14</v>
      </c>
      <c r="L36" s="156" t="str">
        <f t="shared" si="12"/>
        <v> Mullen</v>
      </c>
      <c r="M36" s="149">
        <v>1.0</v>
      </c>
      <c r="N36" s="157"/>
      <c r="O36" s="133"/>
      <c r="P36" s="133"/>
      <c r="Q36" s="133"/>
      <c r="R36" s="133"/>
      <c r="S36" s="152"/>
      <c r="T36" s="132"/>
      <c r="U36" s="7"/>
    </row>
    <row r="37">
      <c r="A37" s="14"/>
      <c r="B37" s="135">
        <f t="shared" si="9"/>
        <v>14</v>
      </c>
      <c r="C37" s="156" t="str">
        <f t="shared" si="10"/>
        <v> Bonnstetter</v>
      </c>
      <c r="D37" s="149">
        <v>1.0</v>
      </c>
      <c r="E37" s="157"/>
      <c r="F37" s="133"/>
      <c r="G37" s="133"/>
      <c r="H37" s="133"/>
      <c r="I37" s="133"/>
      <c r="J37" s="152"/>
      <c r="K37" s="135">
        <f t="shared" si="11"/>
        <v>14</v>
      </c>
      <c r="L37" s="156" t="str">
        <f t="shared" si="12"/>
        <v> Bashour</v>
      </c>
      <c r="M37" s="153"/>
      <c r="N37" s="150">
        <v>1.0</v>
      </c>
      <c r="O37" s="133"/>
      <c r="P37" s="133"/>
      <c r="Q37" s="133"/>
      <c r="R37" s="133"/>
      <c r="S37" s="152"/>
      <c r="T37" s="132"/>
      <c r="U37" s="7"/>
    </row>
    <row r="38">
      <c r="A38" s="8"/>
      <c r="B38" s="129">
        <f t="shared" si="9"/>
        <v>15</v>
      </c>
      <c r="C38" s="156" t="str">
        <f t="shared" si="10"/>
        <v> Montero</v>
      </c>
      <c r="D38" s="149">
        <v>1.0</v>
      </c>
      <c r="E38" s="157"/>
      <c r="F38" s="133"/>
      <c r="G38" s="133"/>
      <c r="H38" s="133"/>
      <c r="I38" s="133"/>
      <c r="J38" s="152"/>
      <c r="K38" s="129">
        <f t="shared" si="11"/>
        <v>15</v>
      </c>
      <c r="L38" s="156" t="str">
        <f t="shared" si="12"/>
        <v> Mullen</v>
      </c>
      <c r="M38" s="149">
        <v>1.0</v>
      </c>
      <c r="N38" s="157"/>
      <c r="O38" s="133"/>
      <c r="P38" s="133"/>
      <c r="Q38" s="133"/>
      <c r="R38" s="133"/>
      <c r="S38" s="152"/>
      <c r="T38" s="132"/>
      <c r="U38" s="7"/>
    </row>
    <row r="39">
      <c r="A39" s="14"/>
      <c r="B39" s="135">
        <f t="shared" si="9"/>
        <v>15</v>
      </c>
      <c r="C39" s="156" t="str">
        <f t="shared" si="10"/>
        <v> Bonnstetter</v>
      </c>
      <c r="D39" s="149">
        <v>1.0</v>
      </c>
      <c r="E39" s="157"/>
      <c r="F39" s="133"/>
      <c r="G39" s="133"/>
      <c r="H39" s="133"/>
      <c r="I39" s="133"/>
      <c r="J39" s="152"/>
      <c r="K39" s="135">
        <f t="shared" si="11"/>
        <v>15</v>
      </c>
      <c r="L39" s="156" t="str">
        <f t="shared" si="12"/>
        <v> Bashour</v>
      </c>
      <c r="M39" s="149">
        <v>1.0</v>
      </c>
      <c r="N39" s="157"/>
      <c r="O39" s="133"/>
      <c r="P39" s="133"/>
      <c r="Q39" s="133"/>
      <c r="R39" s="133"/>
      <c r="S39" s="152"/>
      <c r="T39" s="132"/>
      <c r="U39" s="7"/>
    </row>
    <row r="40">
      <c r="A40" s="8"/>
      <c r="B40" s="129">
        <f t="shared" si="9"/>
        <v>16</v>
      </c>
      <c r="C40" s="156" t="str">
        <f t="shared" si="10"/>
        <v> Montero</v>
      </c>
      <c r="D40" s="159">
        <v>1.0</v>
      </c>
      <c r="E40" s="160"/>
      <c r="F40" s="133"/>
      <c r="G40" s="133"/>
      <c r="H40" s="133"/>
      <c r="I40" s="133"/>
      <c r="J40" s="152"/>
      <c r="K40" s="129">
        <f t="shared" si="11"/>
        <v>16</v>
      </c>
      <c r="L40" s="156" t="str">
        <f t="shared" si="12"/>
        <v> Mullen</v>
      </c>
      <c r="M40" s="149">
        <v>1.0</v>
      </c>
      <c r="N40" s="157"/>
      <c r="O40" s="133"/>
      <c r="P40" s="133"/>
      <c r="Q40" s="133"/>
      <c r="R40" s="133"/>
      <c r="S40" s="152"/>
      <c r="T40" s="132"/>
      <c r="U40" s="7"/>
    </row>
    <row r="41">
      <c r="A41" s="14"/>
      <c r="B41" s="135">
        <f t="shared" si="9"/>
        <v>16</v>
      </c>
      <c r="C41" s="156" t="str">
        <f t="shared" si="10"/>
        <v> Bonnstetter</v>
      </c>
      <c r="D41" s="159">
        <v>1.0</v>
      </c>
      <c r="E41" s="161"/>
      <c r="F41" s="133"/>
      <c r="G41" s="133"/>
      <c r="H41" s="133"/>
      <c r="I41" s="133"/>
      <c r="J41" s="152"/>
      <c r="K41" s="135">
        <f t="shared" si="11"/>
        <v>16</v>
      </c>
      <c r="L41" s="156" t="str">
        <f t="shared" si="12"/>
        <v> Bashour</v>
      </c>
      <c r="M41" s="149">
        <v>1.0</v>
      </c>
      <c r="N41" s="154"/>
      <c r="O41" s="133"/>
      <c r="P41" s="133"/>
      <c r="Q41" s="133"/>
      <c r="R41" s="133"/>
      <c r="S41" s="152"/>
      <c r="T41" s="132"/>
      <c r="U41" s="7"/>
    </row>
    <row r="42">
      <c r="A42" s="8"/>
      <c r="B42" s="129">
        <f t="shared" si="9"/>
        <v>17</v>
      </c>
      <c r="C42" s="156" t="str">
        <f t="shared" si="10"/>
        <v> Montero</v>
      </c>
      <c r="D42" s="159"/>
      <c r="E42" s="160">
        <v>1.0</v>
      </c>
      <c r="F42" s="133"/>
      <c r="G42" s="133"/>
      <c r="H42" s="133"/>
      <c r="I42" s="133"/>
      <c r="J42" s="152"/>
      <c r="K42" s="129">
        <f t="shared" si="11"/>
        <v>17</v>
      </c>
      <c r="L42" s="156" t="str">
        <f t="shared" si="12"/>
        <v> Mullen</v>
      </c>
      <c r="M42" s="149">
        <v>1.0</v>
      </c>
      <c r="N42" s="157"/>
      <c r="O42" s="133"/>
      <c r="P42" s="151">
        <v>1.0</v>
      </c>
      <c r="Q42" s="133"/>
      <c r="R42" s="133"/>
      <c r="S42" s="152"/>
      <c r="T42" s="132"/>
      <c r="U42" s="7"/>
    </row>
    <row r="43">
      <c r="A43" s="14"/>
      <c r="B43" s="135">
        <f t="shared" si="9"/>
        <v>17</v>
      </c>
      <c r="C43" s="156" t="str">
        <f t="shared" si="10"/>
        <v> Bonnstetter</v>
      </c>
      <c r="D43" s="159">
        <v>1.0</v>
      </c>
      <c r="E43" s="160"/>
      <c r="F43" s="133"/>
      <c r="G43" s="133"/>
      <c r="H43" s="133"/>
      <c r="I43" s="133"/>
      <c r="J43" s="152"/>
      <c r="K43" s="135">
        <f t="shared" si="11"/>
        <v>17</v>
      </c>
      <c r="L43" s="156" t="str">
        <f t="shared" si="12"/>
        <v> Bashour</v>
      </c>
      <c r="M43" s="159">
        <v>1.0</v>
      </c>
      <c r="N43" s="161"/>
      <c r="O43" s="152"/>
      <c r="P43" s="175">
        <v>1.0</v>
      </c>
      <c r="Q43" s="152"/>
      <c r="R43" s="152"/>
      <c r="S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Montero</v>
      </c>
      <c r="D44" s="159">
        <v>1.0</v>
      </c>
      <c r="E44" s="161"/>
      <c r="F44" s="133"/>
      <c r="G44" s="133"/>
      <c r="H44" s="133"/>
      <c r="I44" s="133"/>
      <c r="J44" s="152"/>
      <c r="K44" s="129">
        <f t="shared" si="11"/>
        <v>18</v>
      </c>
      <c r="L44" s="156" t="str">
        <f t="shared" si="12"/>
        <v> Mullen</v>
      </c>
      <c r="M44" s="159">
        <v>1.0</v>
      </c>
      <c r="N44" s="161"/>
      <c r="O44" s="152"/>
      <c r="P44" s="152"/>
      <c r="Q44" s="152"/>
      <c r="R44" s="152"/>
      <c r="S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Bonnstetter</v>
      </c>
      <c r="D45" s="159">
        <v>1.0</v>
      </c>
      <c r="E45" s="161"/>
      <c r="F45" s="133"/>
      <c r="G45" s="133"/>
      <c r="H45" s="133"/>
      <c r="I45" s="133"/>
      <c r="J45" s="152"/>
      <c r="K45" s="129">
        <f t="shared" si="11"/>
        <v>18</v>
      </c>
      <c r="L45" s="156" t="str">
        <f t="shared" si="12"/>
        <v> Bashour</v>
      </c>
      <c r="M45" s="159">
        <v>1.0</v>
      </c>
      <c r="N45" s="161"/>
      <c r="O45" s="152"/>
      <c r="P45" s="152"/>
      <c r="Q45" s="152"/>
      <c r="R45" s="152"/>
      <c r="S45" s="152"/>
      <c r="T45" s="132"/>
      <c r="U45" s="7"/>
    </row>
    <row r="46">
      <c r="A46" s="14"/>
      <c r="B46" s="135">
        <f t="shared" si="9"/>
        <v>19</v>
      </c>
      <c r="C46" s="156" t="str">
        <f t="shared" si="10"/>
        <v> Montero</v>
      </c>
      <c r="D46" s="159"/>
      <c r="E46" s="160">
        <v>1.0</v>
      </c>
      <c r="F46" s="133"/>
      <c r="G46" s="133"/>
      <c r="H46" s="133"/>
      <c r="I46" s="133"/>
      <c r="J46" s="152"/>
      <c r="K46" s="135">
        <f t="shared" si="11"/>
        <v>19</v>
      </c>
      <c r="L46" s="156" t="str">
        <f t="shared" si="12"/>
        <v> Mullen</v>
      </c>
      <c r="M46" s="159">
        <v>1.0</v>
      </c>
      <c r="N46" s="161"/>
      <c r="O46" s="152"/>
      <c r="P46" s="152"/>
      <c r="Q46" s="152"/>
      <c r="R46" s="152"/>
      <c r="S46" s="152"/>
      <c r="T46" s="132"/>
      <c r="U46" s="7"/>
    </row>
    <row r="47">
      <c r="A47" s="8"/>
      <c r="B47" s="129">
        <f t="shared" si="9"/>
        <v>19</v>
      </c>
      <c r="C47" s="156" t="str">
        <f t="shared" si="10"/>
        <v> Bonnstetter</v>
      </c>
      <c r="D47" s="159"/>
      <c r="E47" s="160">
        <v>1.0</v>
      </c>
      <c r="F47" s="133"/>
      <c r="G47" s="133"/>
      <c r="H47" s="133"/>
      <c r="I47" s="133"/>
      <c r="J47" s="152"/>
      <c r="K47" s="129">
        <f t="shared" si="11"/>
        <v>19</v>
      </c>
      <c r="L47" s="156" t="str">
        <f t="shared" si="12"/>
        <v> Bashour</v>
      </c>
      <c r="M47" s="159">
        <v>1.0</v>
      </c>
      <c r="N47" s="161"/>
      <c r="O47" s="152"/>
      <c r="P47" s="152"/>
      <c r="Q47" s="152"/>
      <c r="R47" s="152"/>
      <c r="S47" s="152"/>
      <c r="T47" s="132"/>
      <c r="U47" s="7"/>
    </row>
    <row r="48">
      <c r="A48" s="14"/>
      <c r="B48" s="135">
        <f t="shared" si="9"/>
        <v>20</v>
      </c>
      <c r="C48" s="156" t="str">
        <f t="shared" si="10"/>
        <v> Montero</v>
      </c>
      <c r="D48" s="159">
        <v>1.0</v>
      </c>
      <c r="E48" s="161"/>
      <c r="F48" s="133"/>
      <c r="G48" s="133"/>
      <c r="H48" s="133"/>
      <c r="I48" s="133"/>
      <c r="J48" s="152"/>
      <c r="K48" s="135">
        <f t="shared" si="11"/>
        <v>20</v>
      </c>
      <c r="L48" s="156" t="str">
        <f t="shared" si="12"/>
        <v> Mullen</v>
      </c>
      <c r="M48" s="159">
        <v>1.0</v>
      </c>
      <c r="N48" s="160"/>
      <c r="O48" s="152"/>
      <c r="P48" s="152"/>
      <c r="Q48" s="152"/>
      <c r="R48" s="152"/>
      <c r="S48" s="152"/>
      <c r="T48" s="132"/>
      <c r="U48" s="7"/>
    </row>
    <row r="49">
      <c r="A49" s="8"/>
      <c r="B49" s="129">
        <f t="shared" si="9"/>
        <v>20</v>
      </c>
      <c r="C49" s="156" t="str">
        <f t="shared" si="10"/>
        <v> Bonnstetter</v>
      </c>
      <c r="D49" s="159">
        <v>1.0</v>
      </c>
      <c r="E49" s="160"/>
      <c r="F49" s="133"/>
      <c r="G49" s="133"/>
      <c r="H49" s="133"/>
      <c r="I49" s="133"/>
      <c r="J49" s="152"/>
      <c r="K49" s="129">
        <f t="shared" si="11"/>
        <v>20</v>
      </c>
      <c r="L49" s="156" t="str">
        <f t="shared" si="12"/>
        <v> Bashour</v>
      </c>
      <c r="M49" s="159">
        <v>1.0</v>
      </c>
      <c r="N49" s="161"/>
      <c r="O49" s="152"/>
      <c r="P49" s="152"/>
      <c r="Q49" s="152"/>
      <c r="R49" s="152"/>
      <c r="S49" s="152"/>
      <c r="T49" s="132"/>
      <c r="U49" s="7"/>
    </row>
    <row r="50">
      <c r="A50" s="8"/>
      <c r="B50" s="129">
        <f t="shared" si="9"/>
        <v>21</v>
      </c>
      <c r="C50" s="156" t="str">
        <f t="shared" si="10"/>
        <v> Montero</v>
      </c>
      <c r="D50" s="159">
        <v>1.0</v>
      </c>
      <c r="E50" s="161"/>
      <c r="F50" s="133"/>
      <c r="G50" s="133"/>
      <c r="H50" s="133"/>
      <c r="I50" s="133"/>
      <c r="J50" s="152"/>
      <c r="K50" s="129">
        <f t="shared" si="11"/>
        <v>21</v>
      </c>
      <c r="L50" s="156" t="str">
        <f t="shared" si="12"/>
        <v> Mullen</v>
      </c>
      <c r="M50" s="159">
        <v>1.0</v>
      </c>
      <c r="N50" s="161"/>
      <c r="O50" s="152"/>
      <c r="P50" s="152"/>
      <c r="Q50" s="152"/>
      <c r="R50" s="152"/>
      <c r="S50" s="152"/>
      <c r="T50" s="132"/>
      <c r="U50" s="7"/>
    </row>
    <row r="51">
      <c r="A51" s="14"/>
      <c r="B51" s="135">
        <f t="shared" si="9"/>
        <v>21</v>
      </c>
      <c r="C51" s="156" t="str">
        <f t="shared" si="10"/>
        <v> Bonnstetter</v>
      </c>
      <c r="D51" s="159">
        <v>1.0</v>
      </c>
      <c r="E51" s="161"/>
      <c r="F51" s="133"/>
      <c r="G51" s="133"/>
      <c r="H51" s="133"/>
      <c r="I51" s="133"/>
      <c r="J51" s="152"/>
      <c r="K51" s="135">
        <f t="shared" si="11"/>
        <v>21</v>
      </c>
      <c r="L51" s="156" t="str">
        <f t="shared" si="12"/>
        <v> Bashour</v>
      </c>
      <c r="M51" s="159">
        <v>1.0</v>
      </c>
      <c r="N51" s="161"/>
      <c r="O51" s="152"/>
      <c r="P51" s="152"/>
      <c r="Q51" s="152"/>
      <c r="R51" s="152"/>
      <c r="S51" s="152"/>
      <c r="T51" s="132"/>
      <c r="U51" s="7"/>
    </row>
    <row r="52">
      <c r="A52" s="8"/>
      <c r="B52" s="129">
        <f t="shared" si="9"/>
        <v>22</v>
      </c>
      <c r="C52" s="156" t="str">
        <f t="shared" si="10"/>
        <v> Montero</v>
      </c>
      <c r="D52" s="159">
        <v>1.0</v>
      </c>
      <c r="E52" s="161"/>
      <c r="F52" s="133"/>
      <c r="G52" s="133"/>
      <c r="H52" s="133"/>
      <c r="I52" s="133"/>
      <c r="J52" s="152"/>
      <c r="K52" s="129">
        <f t="shared" si="11"/>
        <v>22</v>
      </c>
      <c r="L52" s="156" t="str">
        <f t="shared" si="12"/>
        <v> Mullen</v>
      </c>
      <c r="M52" s="162"/>
      <c r="N52" s="160">
        <v>1.0</v>
      </c>
      <c r="O52" s="152"/>
      <c r="P52" s="152"/>
      <c r="Q52" s="152"/>
      <c r="R52" s="152"/>
      <c r="S52" s="152"/>
      <c r="T52" s="132"/>
      <c r="U52" s="7"/>
    </row>
    <row r="53">
      <c r="A53" s="14"/>
      <c r="B53" s="135">
        <f t="shared" si="9"/>
        <v>22</v>
      </c>
      <c r="C53" s="156" t="str">
        <f t="shared" si="10"/>
        <v> Bonnstetter</v>
      </c>
      <c r="D53" s="159">
        <v>1.0</v>
      </c>
      <c r="E53" s="161"/>
      <c r="F53" s="133"/>
      <c r="G53" s="133"/>
      <c r="H53" s="133"/>
      <c r="I53" s="133"/>
      <c r="J53" s="152"/>
      <c r="K53" s="135">
        <f t="shared" si="11"/>
        <v>22</v>
      </c>
      <c r="L53" s="156" t="str">
        <f t="shared" si="12"/>
        <v> Bashour</v>
      </c>
      <c r="M53" s="162"/>
      <c r="N53" s="161"/>
      <c r="O53" s="152"/>
      <c r="P53" s="152"/>
      <c r="Q53" s="152"/>
      <c r="R53" s="152"/>
      <c r="S53" s="152"/>
      <c r="T53" s="132"/>
      <c r="U53" s="7"/>
    </row>
    <row r="54">
      <c r="A54" s="8"/>
      <c r="B54" s="129">
        <f t="shared" si="9"/>
        <v>23</v>
      </c>
      <c r="C54" s="156" t="str">
        <f t="shared" si="10"/>
        <v> Montero</v>
      </c>
      <c r="D54" s="162"/>
      <c r="E54" s="161"/>
      <c r="F54" s="133"/>
      <c r="G54" s="133"/>
      <c r="H54" s="133"/>
      <c r="I54" s="133"/>
      <c r="J54" s="152"/>
      <c r="K54" s="129">
        <f t="shared" si="11"/>
        <v>23</v>
      </c>
      <c r="L54" s="156" t="str">
        <f t="shared" si="12"/>
        <v> Mullen</v>
      </c>
      <c r="M54" s="162"/>
      <c r="N54" s="161"/>
      <c r="O54" s="152"/>
      <c r="P54" s="152"/>
      <c r="Q54" s="152"/>
      <c r="R54" s="152"/>
      <c r="S54" s="152"/>
      <c r="T54" s="132"/>
      <c r="U54" s="7"/>
    </row>
    <row r="55">
      <c r="A55" s="14"/>
      <c r="B55" s="135">
        <f t="shared" si="9"/>
        <v>23</v>
      </c>
      <c r="C55" s="156" t="str">
        <f t="shared" si="10"/>
        <v> Bonnstetter</v>
      </c>
      <c r="D55" s="162"/>
      <c r="E55" s="161"/>
      <c r="F55" s="152"/>
      <c r="G55" s="152"/>
      <c r="H55" s="152"/>
      <c r="I55" s="152"/>
      <c r="J55" s="152"/>
      <c r="K55" s="135">
        <f t="shared" si="11"/>
        <v>23</v>
      </c>
      <c r="L55" s="156" t="str">
        <f t="shared" si="12"/>
        <v> Bashour</v>
      </c>
      <c r="M55" s="162"/>
      <c r="N55" s="161"/>
      <c r="O55" s="152"/>
      <c r="P55" s="152"/>
      <c r="Q55" s="152"/>
      <c r="R55" s="152"/>
      <c r="S55" s="152"/>
      <c r="T55" s="132"/>
      <c r="U55" s="7"/>
    </row>
    <row r="56">
      <c r="A56" s="8"/>
      <c r="B56" s="129">
        <f t="shared" si="9"/>
        <v>24</v>
      </c>
      <c r="C56" s="156" t="str">
        <f t="shared" si="10"/>
        <v> Montero</v>
      </c>
      <c r="D56" s="162"/>
      <c r="E56" s="161"/>
      <c r="F56" s="152"/>
      <c r="G56" s="152"/>
      <c r="H56" s="152"/>
      <c r="I56" s="152"/>
      <c r="J56" s="152"/>
      <c r="K56" s="129">
        <f t="shared" si="11"/>
        <v>24</v>
      </c>
      <c r="L56" s="156" t="str">
        <f t="shared" si="12"/>
        <v> Mullen</v>
      </c>
      <c r="M56" s="162"/>
      <c r="N56" s="161"/>
      <c r="O56" s="152"/>
      <c r="P56" s="152"/>
      <c r="Q56" s="152"/>
      <c r="R56" s="152"/>
      <c r="S56" s="152"/>
      <c r="T56" s="132"/>
      <c r="U56" s="7"/>
    </row>
    <row r="57">
      <c r="A57" s="8"/>
      <c r="B57" s="129">
        <f t="shared" si="9"/>
        <v>24</v>
      </c>
      <c r="C57" s="156" t="str">
        <f t="shared" si="10"/>
        <v> Bonnstetter</v>
      </c>
      <c r="D57" s="162"/>
      <c r="E57" s="161"/>
      <c r="F57" s="152"/>
      <c r="G57" s="152"/>
      <c r="H57" s="152"/>
      <c r="I57" s="152"/>
      <c r="J57" s="152"/>
      <c r="K57" s="129">
        <f t="shared" si="11"/>
        <v>24</v>
      </c>
      <c r="L57" s="156" t="str">
        <f t="shared" si="12"/>
        <v> Bashour</v>
      </c>
      <c r="M57" s="162"/>
      <c r="N57" s="161"/>
      <c r="O57" s="152"/>
      <c r="P57" s="152"/>
      <c r="Q57" s="152"/>
      <c r="R57" s="152"/>
      <c r="S57" s="152"/>
      <c r="T57" s="132"/>
      <c r="U57" s="7"/>
    </row>
    <row r="58">
      <c r="A58" s="14"/>
      <c r="B58" s="135">
        <f t="shared" si="9"/>
        <v>25</v>
      </c>
      <c r="C58" s="156" t="str">
        <f t="shared" si="10"/>
        <v> Montero</v>
      </c>
      <c r="D58" s="162"/>
      <c r="E58" s="161"/>
      <c r="F58" s="152"/>
      <c r="G58" s="152"/>
      <c r="H58" s="152"/>
      <c r="I58" s="152"/>
      <c r="J58" s="152"/>
      <c r="K58" s="135">
        <f t="shared" si="11"/>
        <v>25</v>
      </c>
      <c r="L58" s="156" t="str">
        <f t="shared" si="12"/>
        <v> Mullen</v>
      </c>
      <c r="M58" s="162"/>
      <c r="N58" s="161"/>
      <c r="O58" s="152"/>
      <c r="P58" s="152"/>
      <c r="Q58" s="152"/>
      <c r="R58" s="152"/>
      <c r="S58" s="152"/>
      <c r="T58" s="132"/>
      <c r="U58" s="7"/>
    </row>
    <row r="59">
      <c r="A59" s="8"/>
      <c r="B59" s="129">
        <f t="shared" si="9"/>
        <v>25</v>
      </c>
      <c r="C59" s="156" t="str">
        <f t="shared" si="10"/>
        <v> Bonnstetter</v>
      </c>
      <c r="D59" s="162"/>
      <c r="E59" s="161"/>
      <c r="F59" s="152"/>
      <c r="G59" s="152"/>
      <c r="H59" s="152"/>
      <c r="I59" s="152"/>
      <c r="J59" s="152"/>
      <c r="K59" s="129">
        <f t="shared" si="11"/>
        <v>25</v>
      </c>
      <c r="L59" s="156" t="str">
        <f t="shared" si="12"/>
        <v> Bashour</v>
      </c>
      <c r="M59" s="162"/>
      <c r="N59" s="161"/>
      <c r="O59" s="152"/>
      <c r="P59" s="152"/>
      <c r="Q59" s="152"/>
      <c r="R59" s="152"/>
      <c r="S59" s="152"/>
      <c r="T59" s="132"/>
      <c r="U59" s="7"/>
    </row>
    <row r="60">
      <c r="A60" s="14"/>
      <c r="B60" s="135">
        <f t="shared" si="9"/>
        <v>26</v>
      </c>
      <c r="C60" s="156" t="str">
        <f t="shared" si="10"/>
        <v> Montero</v>
      </c>
      <c r="D60" s="162"/>
      <c r="E60" s="161"/>
      <c r="F60" s="152"/>
      <c r="G60" s="152"/>
      <c r="H60" s="152"/>
      <c r="I60" s="152"/>
      <c r="J60" s="152"/>
      <c r="K60" s="135">
        <f t="shared" si="11"/>
        <v>26</v>
      </c>
      <c r="L60" s="156" t="str">
        <f t="shared" si="12"/>
        <v> Mullen</v>
      </c>
      <c r="M60" s="162"/>
      <c r="N60" s="161"/>
      <c r="O60" s="152"/>
      <c r="P60" s="152"/>
      <c r="Q60" s="152"/>
      <c r="R60" s="152"/>
      <c r="S60" s="152"/>
      <c r="T60" s="132"/>
      <c r="U60" s="7"/>
    </row>
    <row r="61">
      <c r="A61" s="8"/>
      <c r="B61" s="129">
        <f t="shared" si="9"/>
        <v>26</v>
      </c>
      <c r="C61" s="156" t="str">
        <f t="shared" si="10"/>
        <v> Bonnstetter</v>
      </c>
      <c r="D61" s="162"/>
      <c r="E61" s="161"/>
      <c r="F61" s="152"/>
      <c r="G61" s="152"/>
      <c r="H61" s="152"/>
      <c r="I61" s="152"/>
      <c r="J61" s="152"/>
      <c r="K61" s="129">
        <f t="shared" si="11"/>
        <v>26</v>
      </c>
      <c r="L61" s="156" t="str">
        <f t="shared" si="12"/>
        <v> Bashour</v>
      </c>
      <c r="M61" s="162"/>
      <c r="N61" s="161"/>
      <c r="O61" s="152"/>
      <c r="P61" s="152"/>
      <c r="Q61" s="152"/>
      <c r="R61" s="152"/>
      <c r="S61" s="152"/>
      <c r="T61" s="132"/>
      <c r="U61" s="7"/>
    </row>
    <row r="62">
      <c r="A62" s="14"/>
      <c r="B62" s="135">
        <f t="shared" si="9"/>
        <v>27</v>
      </c>
      <c r="C62" s="156" t="str">
        <f t="shared" si="10"/>
        <v> Montero</v>
      </c>
      <c r="D62" s="162"/>
      <c r="E62" s="161"/>
      <c r="F62" s="152"/>
      <c r="G62" s="152"/>
      <c r="H62" s="152"/>
      <c r="I62" s="152"/>
      <c r="J62" s="152"/>
      <c r="K62" s="135">
        <f t="shared" si="11"/>
        <v>27</v>
      </c>
      <c r="L62" s="156" t="str">
        <f t="shared" si="12"/>
        <v> Mullen</v>
      </c>
      <c r="M62" s="162"/>
      <c r="N62" s="161"/>
      <c r="O62" s="152"/>
      <c r="P62" s="152"/>
      <c r="Q62" s="152"/>
      <c r="R62" s="152"/>
      <c r="S62" s="152"/>
      <c r="T62" s="132"/>
      <c r="U62" s="7"/>
    </row>
    <row r="63">
      <c r="A63" s="8"/>
      <c r="B63" s="129">
        <f t="shared" si="9"/>
        <v>27</v>
      </c>
      <c r="C63" s="156" t="str">
        <f t="shared" si="10"/>
        <v> Bonnstetter</v>
      </c>
      <c r="D63" s="162"/>
      <c r="E63" s="161"/>
      <c r="F63" s="152"/>
      <c r="G63" s="152"/>
      <c r="H63" s="152"/>
      <c r="I63" s="152"/>
      <c r="J63" s="152"/>
      <c r="K63" s="129">
        <f t="shared" si="11"/>
        <v>27</v>
      </c>
      <c r="L63" s="156" t="str">
        <f t="shared" si="12"/>
        <v> Bashour</v>
      </c>
      <c r="M63" s="162"/>
      <c r="N63" s="161"/>
      <c r="O63" s="152"/>
      <c r="P63" s="152"/>
      <c r="Q63" s="152"/>
      <c r="R63" s="152"/>
      <c r="S63" s="152"/>
      <c r="T63" s="132"/>
      <c r="U63" s="7"/>
    </row>
    <row r="64">
      <c r="A64" s="14"/>
      <c r="B64" s="135">
        <f t="shared" si="9"/>
        <v>28</v>
      </c>
      <c r="C64" s="156" t="str">
        <f t="shared" si="10"/>
        <v> Montero</v>
      </c>
      <c r="D64" s="162"/>
      <c r="E64" s="161"/>
      <c r="F64" s="152"/>
      <c r="G64" s="152"/>
      <c r="H64" s="152"/>
      <c r="I64" s="152"/>
      <c r="J64" s="152"/>
      <c r="K64" s="135">
        <f t="shared" si="11"/>
        <v>28</v>
      </c>
      <c r="L64" s="156" t="str">
        <f t="shared" si="12"/>
        <v> Mullen</v>
      </c>
      <c r="M64" s="162"/>
      <c r="N64" s="161"/>
      <c r="O64" s="152"/>
      <c r="P64" s="152"/>
      <c r="Q64" s="152"/>
      <c r="R64" s="152"/>
      <c r="S64" s="152"/>
      <c r="T64" s="132"/>
      <c r="U64" s="7"/>
    </row>
    <row r="65">
      <c r="A65" s="8"/>
      <c r="B65" s="129">
        <f t="shared" si="9"/>
        <v>28</v>
      </c>
      <c r="C65" s="156" t="str">
        <f t="shared" si="10"/>
        <v> Bonnstetter</v>
      </c>
      <c r="D65" s="162"/>
      <c r="E65" s="161"/>
      <c r="F65" s="152"/>
      <c r="G65" s="152"/>
      <c r="H65" s="152"/>
      <c r="I65" s="152"/>
      <c r="J65" s="152"/>
      <c r="K65" s="129">
        <f t="shared" si="11"/>
        <v>28</v>
      </c>
      <c r="L65" s="156" t="str">
        <f t="shared" si="12"/>
        <v> Bashour</v>
      </c>
      <c r="M65" s="162"/>
      <c r="N65" s="161"/>
      <c r="O65" s="152"/>
      <c r="P65" s="152"/>
      <c r="Q65" s="152"/>
      <c r="R65" s="152"/>
      <c r="S65" s="152"/>
      <c r="T65" s="132"/>
      <c r="U65" s="7"/>
    </row>
    <row r="66">
      <c r="A66" s="14"/>
      <c r="B66" s="135">
        <f t="shared" si="9"/>
        <v>29</v>
      </c>
      <c r="C66" s="156" t="str">
        <f t="shared" si="10"/>
        <v> Montero</v>
      </c>
      <c r="D66" s="162"/>
      <c r="E66" s="161"/>
      <c r="F66" s="152"/>
      <c r="G66" s="152"/>
      <c r="H66" s="152"/>
      <c r="I66" s="152"/>
      <c r="J66" s="152"/>
      <c r="K66" s="135">
        <f t="shared" si="11"/>
        <v>29</v>
      </c>
      <c r="L66" s="156" t="str">
        <f t="shared" si="12"/>
        <v> Mullen</v>
      </c>
      <c r="M66" s="162"/>
      <c r="N66" s="161"/>
      <c r="O66" s="152"/>
      <c r="P66" s="152"/>
      <c r="Q66" s="152"/>
      <c r="R66" s="152"/>
      <c r="S66" s="152"/>
      <c r="T66" s="132"/>
      <c r="U66" s="7"/>
    </row>
    <row r="67">
      <c r="A67" s="14"/>
      <c r="B67" s="135">
        <f t="shared" si="9"/>
        <v>29</v>
      </c>
      <c r="C67" s="156" t="str">
        <f t="shared" si="10"/>
        <v> Bonnstetter</v>
      </c>
      <c r="D67" s="162"/>
      <c r="E67" s="161"/>
      <c r="F67" s="152"/>
      <c r="G67" s="152"/>
      <c r="H67" s="152"/>
      <c r="I67" s="152"/>
      <c r="J67" s="152"/>
      <c r="K67" s="135">
        <f t="shared" si="11"/>
        <v>29</v>
      </c>
      <c r="L67" s="156" t="str">
        <f t="shared" si="12"/>
        <v> Bashour</v>
      </c>
      <c r="M67" s="162"/>
      <c r="N67" s="161"/>
      <c r="O67" s="152"/>
      <c r="P67" s="152"/>
      <c r="Q67" s="152"/>
      <c r="R67" s="152"/>
      <c r="S67" s="152"/>
      <c r="T67" s="132"/>
      <c r="U67" s="7"/>
    </row>
    <row r="68">
      <c r="A68" s="14"/>
      <c r="B68" s="135">
        <f t="shared" si="9"/>
        <v>30</v>
      </c>
      <c r="C68" s="156" t="str">
        <f t="shared" si="10"/>
        <v> Montero</v>
      </c>
      <c r="D68" s="162"/>
      <c r="E68" s="161"/>
      <c r="F68" s="152"/>
      <c r="G68" s="152"/>
      <c r="H68" s="152"/>
      <c r="I68" s="152"/>
      <c r="J68" s="152"/>
      <c r="K68" s="135">
        <f t="shared" si="11"/>
        <v>30</v>
      </c>
      <c r="L68" s="156" t="str">
        <f t="shared" si="12"/>
        <v> Mullen</v>
      </c>
      <c r="M68" s="162"/>
      <c r="N68" s="161"/>
      <c r="O68" s="152"/>
      <c r="P68" s="152"/>
      <c r="Q68" s="152"/>
      <c r="R68" s="152"/>
      <c r="S68" s="152"/>
      <c r="T68" s="132"/>
      <c r="U68" s="7"/>
    </row>
    <row r="69">
      <c r="A69" s="14"/>
      <c r="B69" s="135">
        <f t="shared" si="9"/>
        <v>30</v>
      </c>
      <c r="C69" s="156" t="str">
        <f t="shared" si="10"/>
        <v> Bonnstetter</v>
      </c>
      <c r="D69" s="162"/>
      <c r="E69" s="161"/>
      <c r="F69" s="152"/>
      <c r="G69" s="152"/>
      <c r="H69" s="152"/>
      <c r="I69" s="152"/>
      <c r="J69" s="152"/>
      <c r="K69" s="135">
        <f t="shared" si="11"/>
        <v>30</v>
      </c>
      <c r="L69" s="156" t="str">
        <f t="shared" si="12"/>
        <v> Bashour</v>
      </c>
      <c r="M69" s="162"/>
      <c r="N69" s="161"/>
      <c r="O69" s="152"/>
      <c r="P69" s="152"/>
      <c r="Q69" s="152"/>
      <c r="R69" s="152"/>
      <c r="S69" s="152"/>
      <c r="T69" s="132"/>
      <c r="U69" s="7"/>
    </row>
    <row r="70">
      <c r="A70" s="125"/>
      <c r="B70" s="126">
        <v>31.0</v>
      </c>
      <c r="C70" s="156" t="str">
        <f t="shared" si="10"/>
        <v> Montero</v>
      </c>
      <c r="D70" s="163"/>
      <c r="E70" s="164"/>
      <c r="F70" s="165"/>
      <c r="G70" s="165"/>
      <c r="H70" s="166"/>
      <c r="I70" s="166"/>
      <c r="J70" s="152"/>
      <c r="K70" s="126">
        <v>31.0</v>
      </c>
      <c r="L70" s="156" t="str">
        <f t="shared" si="12"/>
        <v> Mullen</v>
      </c>
      <c r="M70" s="163"/>
      <c r="N70" s="164"/>
      <c r="O70" s="165"/>
      <c r="P70" s="165"/>
      <c r="Q70" s="166"/>
      <c r="R70" s="167"/>
      <c r="S70" s="152"/>
      <c r="T70" s="132"/>
      <c r="U70" s="7"/>
    </row>
    <row r="71">
      <c r="A71" s="125"/>
      <c r="B71" s="126">
        <v>31.0</v>
      </c>
      <c r="C71" s="156" t="str">
        <f t="shared" si="10"/>
        <v> Bonnstetter</v>
      </c>
      <c r="D71" s="158"/>
      <c r="E71" s="157"/>
      <c r="F71" s="128"/>
      <c r="G71" s="128"/>
      <c r="H71" s="128"/>
      <c r="I71" s="128"/>
      <c r="J71" s="152"/>
      <c r="K71" s="126">
        <v>31.0</v>
      </c>
      <c r="L71" s="156" t="str">
        <f t="shared" si="12"/>
        <v> Bashour</v>
      </c>
      <c r="M71" s="158"/>
      <c r="N71" s="157"/>
      <c r="O71" s="128"/>
      <c r="P71" s="128"/>
      <c r="Q71" s="128"/>
      <c r="R71" s="168"/>
      <c r="S71" s="152"/>
      <c r="T71" s="132"/>
      <c r="U71" s="7"/>
    </row>
    <row r="72">
      <c r="A72" s="125"/>
      <c r="B72" s="126">
        <v>32.0</v>
      </c>
      <c r="C72" s="156" t="str">
        <f t="shared" si="10"/>
        <v> Montero</v>
      </c>
      <c r="D72" s="158"/>
      <c r="E72" s="157"/>
      <c r="F72" s="133"/>
      <c r="G72" s="133"/>
      <c r="H72" s="133"/>
      <c r="I72" s="133"/>
      <c r="J72" s="152"/>
      <c r="K72" s="126">
        <v>32.0</v>
      </c>
      <c r="L72" s="156" t="str">
        <f t="shared" si="12"/>
        <v> Mullen</v>
      </c>
      <c r="M72" s="158"/>
      <c r="N72" s="157"/>
      <c r="O72" s="133"/>
      <c r="P72" s="133"/>
      <c r="Q72" s="133"/>
      <c r="R72" s="152"/>
      <c r="S72" s="152"/>
      <c r="T72" s="132"/>
      <c r="U72" s="7"/>
    </row>
    <row r="73">
      <c r="A73" s="8"/>
      <c r="B73" s="129">
        <v>32.0</v>
      </c>
      <c r="C73" s="156" t="str">
        <f t="shared" si="10"/>
        <v> Bonnstetter</v>
      </c>
      <c r="D73" s="162"/>
      <c r="E73" s="161"/>
      <c r="F73" s="152"/>
      <c r="G73" s="152"/>
      <c r="H73" s="152"/>
      <c r="I73" s="152"/>
      <c r="J73" s="152"/>
      <c r="K73" s="129">
        <v>32.0</v>
      </c>
      <c r="L73" s="156" t="str">
        <f t="shared" si="12"/>
        <v> Bashour</v>
      </c>
      <c r="M73" s="162"/>
      <c r="N73" s="161"/>
      <c r="O73" s="152"/>
      <c r="P73" s="152"/>
      <c r="Q73" s="152"/>
      <c r="R73" s="152"/>
      <c r="S73" s="152"/>
      <c r="T73" s="132"/>
      <c r="U73" s="7"/>
    </row>
    <row r="74">
      <c r="A74" s="8"/>
      <c r="B74" s="129">
        <v>33.0</v>
      </c>
      <c r="C74" s="156" t="str">
        <f t="shared" si="10"/>
        <v> Montero</v>
      </c>
      <c r="D74" s="169"/>
      <c r="E74" s="161"/>
      <c r="F74" s="152"/>
      <c r="G74" s="152"/>
      <c r="H74" s="152"/>
      <c r="I74" s="152"/>
      <c r="J74" s="152"/>
      <c r="K74" s="129">
        <v>33.0</v>
      </c>
      <c r="L74" s="156" t="str">
        <f t="shared" si="12"/>
        <v> Mullen</v>
      </c>
      <c r="M74" s="162"/>
      <c r="N74" s="161"/>
      <c r="O74" s="152"/>
      <c r="P74" s="152"/>
      <c r="Q74" s="152"/>
      <c r="R74" s="152"/>
      <c r="S74" s="152"/>
      <c r="T74" s="132"/>
      <c r="U74" s="7"/>
    </row>
    <row r="75">
      <c r="A75" s="8"/>
      <c r="B75" s="129">
        <v>33.0</v>
      </c>
      <c r="C75" s="156" t="str">
        <f t="shared" si="10"/>
        <v> Bonnstetter</v>
      </c>
      <c r="D75" s="162"/>
      <c r="E75" s="161"/>
      <c r="F75" s="152"/>
      <c r="G75" s="152"/>
      <c r="H75" s="152"/>
      <c r="I75" s="152"/>
      <c r="J75" s="152"/>
      <c r="K75" s="129">
        <v>33.0</v>
      </c>
      <c r="L75" s="156" t="str">
        <f t="shared" si="12"/>
        <v> Bashour</v>
      </c>
      <c r="M75" s="162"/>
      <c r="N75" s="161"/>
      <c r="O75" s="152"/>
      <c r="P75" s="152"/>
      <c r="Q75" s="152"/>
      <c r="R75" s="152"/>
      <c r="S75" s="152"/>
      <c r="T75" s="132"/>
      <c r="U75" s="7"/>
    </row>
    <row r="76">
      <c r="A76" s="8"/>
      <c r="B76" s="129">
        <v>34.0</v>
      </c>
      <c r="C76" s="156" t="str">
        <f t="shared" si="10"/>
        <v> Montero</v>
      </c>
      <c r="D76" s="162"/>
      <c r="E76" s="161"/>
      <c r="F76" s="152"/>
      <c r="G76" s="152"/>
      <c r="H76" s="152"/>
      <c r="I76" s="152"/>
      <c r="J76" s="152"/>
      <c r="K76" s="129">
        <v>34.0</v>
      </c>
      <c r="L76" s="156" t="str">
        <f t="shared" si="12"/>
        <v> Mullen</v>
      </c>
      <c r="M76" s="162"/>
      <c r="N76" s="161"/>
      <c r="O76" s="152"/>
      <c r="P76" s="152"/>
      <c r="Q76" s="152"/>
      <c r="R76" s="152"/>
      <c r="S76" s="152"/>
      <c r="T76" s="132"/>
      <c r="U76" s="7"/>
    </row>
    <row r="77">
      <c r="A77" s="8"/>
      <c r="B77" s="129">
        <v>34.0</v>
      </c>
      <c r="C77" s="156" t="str">
        <f t="shared" si="10"/>
        <v> Bonnstetter</v>
      </c>
      <c r="D77" s="162"/>
      <c r="E77" s="161"/>
      <c r="F77" s="152"/>
      <c r="G77" s="152"/>
      <c r="H77" s="152"/>
      <c r="I77" s="152"/>
      <c r="J77" s="152"/>
      <c r="K77" s="129">
        <v>34.0</v>
      </c>
      <c r="L77" s="156" t="str">
        <f t="shared" si="12"/>
        <v> Bashour</v>
      </c>
      <c r="M77" s="162"/>
      <c r="N77" s="161"/>
      <c r="O77" s="152"/>
      <c r="P77" s="152"/>
      <c r="Q77" s="152"/>
      <c r="R77" s="152"/>
      <c r="S77" s="152"/>
      <c r="T77" s="132"/>
      <c r="U77" s="7"/>
    </row>
    <row r="78">
      <c r="A78" s="8"/>
      <c r="B78" s="129">
        <v>35.0</v>
      </c>
      <c r="C78" s="156" t="str">
        <f t="shared" si="10"/>
        <v> Montero</v>
      </c>
      <c r="D78" s="162"/>
      <c r="E78" s="161"/>
      <c r="F78" s="152"/>
      <c r="G78" s="152"/>
      <c r="H78" s="152"/>
      <c r="I78" s="152"/>
      <c r="J78" s="152"/>
      <c r="K78" s="129">
        <v>35.0</v>
      </c>
      <c r="L78" s="156" t="str">
        <f t="shared" si="12"/>
        <v> Mullen</v>
      </c>
      <c r="M78" s="162"/>
      <c r="N78" s="161"/>
      <c r="O78" s="152"/>
      <c r="P78" s="152"/>
      <c r="Q78" s="152"/>
      <c r="R78" s="152"/>
      <c r="S78" s="152"/>
      <c r="T78" s="132"/>
      <c r="U78" s="7"/>
    </row>
    <row r="79">
      <c r="A79" s="8"/>
      <c r="B79" s="129">
        <v>35.0</v>
      </c>
      <c r="C79" s="156" t="str">
        <f t="shared" si="10"/>
        <v> Bonnstetter</v>
      </c>
      <c r="D79" s="162"/>
      <c r="E79" s="161"/>
      <c r="F79" s="152"/>
      <c r="G79" s="152"/>
      <c r="H79" s="152"/>
      <c r="I79" s="152"/>
      <c r="J79" s="152"/>
      <c r="K79" s="129">
        <v>35.0</v>
      </c>
      <c r="L79" s="156" t="str">
        <f t="shared" si="12"/>
        <v> Bashour</v>
      </c>
      <c r="M79" s="162"/>
      <c r="N79" s="161"/>
      <c r="O79" s="152"/>
      <c r="P79" s="152"/>
      <c r="Q79" s="152"/>
      <c r="R79" s="152"/>
      <c r="S79" s="152"/>
      <c r="T79" s="132"/>
      <c r="U79" s="7"/>
    </row>
    <row r="80">
      <c r="A80" s="8"/>
      <c r="B80" s="129">
        <v>36.0</v>
      </c>
      <c r="C80" s="156" t="str">
        <f t="shared" si="10"/>
        <v> Montero</v>
      </c>
      <c r="D80" s="162"/>
      <c r="E80" s="161"/>
      <c r="F80" s="152"/>
      <c r="G80" s="152"/>
      <c r="H80" s="152"/>
      <c r="I80" s="152"/>
      <c r="J80" s="152"/>
      <c r="K80" s="129">
        <v>36.0</v>
      </c>
      <c r="L80" s="156" t="str">
        <f t="shared" si="12"/>
        <v> Mullen</v>
      </c>
      <c r="M80" s="162"/>
      <c r="N80" s="161"/>
      <c r="O80" s="152"/>
      <c r="P80" s="152"/>
      <c r="Q80" s="152"/>
      <c r="R80" s="152"/>
      <c r="S80" s="152"/>
      <c r="T80" s="132"/>
      <c r="U80" s="7"/>
    </row>
    <row r="81">
      <c r="A81" s="8"/>
      <c r="B81" s="129">
        <v>36.0</v>
      </c>
      <c r="C81" s="156" t="str">
        <f t="shared" si="10"/>
        <v> Bonnstetter</v>
      </c>
      <c r="D81" s="162"/>
      <c r="E81" s="161"/>
      <c r="F81" s="152"/>
      <c r="G81" s="152"/>
      <c r="H81" s="152"/>
      <c r="I81" s="152"/>
      <c r="J81" s="152"/>
      <c r="K81" s="129">
        <v>36.0</v>
      </c>
      <c r="L81" s="156" t="str">
        <f t="shared" si="12"/>
        <v> Bashour</v>
      </c>
      <c r="M81" s="162"/>
      <c r="N81" s="161"/>
      <c r="O81" s="152"/>
      <c r="P81" s="152"/>
      <c r="Q81" s="152"/>
      <c r="R81" s="152"/>
      <c r="S81" s="152"/>
      <c r="T81" s="132"/>
      <c r="U81" s="7"/>
    </row>
    <row r="82">
      <c r="A82" s="8"/>
      <c r="B82" s="129">
        <v>37.0</v>
      </c>
      <c r="C82" s="156" t="str">
        <f t="shared" si="10"/>
        <v> Montero</v>
      </c>
      <c r="D82" s="162"/>
      <c r="E82" s="161"/>
      <c r="F82" s="152"/>
      <c r="G82" s="152"/>
      <c r="H82" s="152"/>
      <c r="I82" s="152"/>
      <c r="J82" s="152"/>
      <c r="K82" s="129">
        <v>37.0</v>
      </c>
      <c r="L82" s="156" t="str">
        <f t="shared" si="12"/>
        <v> Mullen</v>
      </c>
      <c r="M82" s="162"/>
      <c r="N82" s="161"/>
      <c r="O82" s="152"/>
      <c r="P82" s="152"/>
      <c r="Q82" s="152"/>
      <c r="R82" s="152"/>
      <c r="S82" s="152"/>
      <c r="T82" s="132"/>
      <c r="U82" s="7"/>
    </row>
    <row r="83">
      <c r="A83" s="8"/>
      <c r="B83" s="129">
        <v>37.0</v>
      </c>
      <c r="C83" s="156" t="str">
        <f t="shared" si="10"/>
        <v> Bonnstetter</v>
      </c>
      <c r="D83" s="162"/>
      <c r="E83" s="161"/>
      <c r="F83" s="152"/>
      <c r="G83" s="152"/>
      <c r="H83" s="152"/>
      <c r="I83" s="152"/>
      <c r="J83" s="152"/>
      <c r="K83" s="129">
        <v>37.0</v>
      </c>
      <c r="L83" s="156" t="str">
        <f t="shared" si="12"/>
        <v> Bashour</v>
      </c>
      <c r="M83" s="162"/>
      <c r="N83" s="161"/>
      <c r="O83" s="152"/>
      <c r="P83" s="152"/>
      <c r="Q83" s="152"/>
      <c r="R83" s="152"/>
      <c r="S83" s="152"/>
      <c r="T83" s="132"/>
      <c r="U83" s="7"/>
    </row>
    <row r="84">
      <c r="A84" s="8"/>
      <c r="B84" s="129">
        <v>38.0</v>
      </c>
      <c r="C84" s="156" t="str">
        <f t="shared" si="10"/>
        <v> Montero</v>
      </c>
      <c r="D84" s="162"/>
      <c r="E84" s="161"/>
      <c r="F84" s="152"/>
      <c r="G84" s="152"/>
      <c r="H84" s="152"/>
      <c r="I84" s="152"/>
      <c r="J84" s="152"/>
      <c r="K84" s="129">
        <v>38.0</v>
      </c>
      <c r="L84" s="156" t="str">
        <f t="shared" si="12"/>
        <v> Mullen</v>
      </c>
      <c r="M84" s="162"/>
      <c r="N84" s="161"/>
      <c r="O84" s="152"/>
      <c r="P84" s="152"/>
      <c r="Q84" s="152"/>
      <c r="R84" s="152"/>
      <c r="S84" s="152"/>
      <c r="T84" s="132"/>
      <c r="U84" s="7"/>
    </row>
    <row r="85">
      <c r="A85" s="8"/>
      <c r="B85" s="129">
        <v>38.0</v>
      </c>
      <c r="C85" s="156" t="str">
        <f t="shared" si="10"/>
        <v> Bonnstetter</v>
      </c>
      <c r="D85" s="162"/>
      <c r="E85" s="161"/>
      <c r="F85" s="152"/>
      <c r="G85" s="152"/>
      <c r="H85" s="152"/>
      <c r="I85" s="152"/>
      <c r="J85" s="152"/>
      <c r="K85" s="129">
        <v>38.0</v>
      </c>
      <c r="L85" s="156" t="str">
        <f t="shared" si="12"/>
        <v> Bashour</v>
      </c>
      <c r="M85" s="162"/>
      <c r="N85" s="161"/>
      <c r="O85" s="152"/>
      <c r="P85" s="152"/>
      <c r="Q85" s="152"/>
      <c r="R85" s="152"/>
      <c r="S85" s="152"/>
      <c r="T85" s="132"/>
      <c r="U85" s="7"/>
    </row>
    <row r="86">
      <c r="A86" s="8"/>
      <c r="B86" s="129">
        <v>39.0</v>
      </c>
      <c r="C86" s="156" t="str">
        <f t="shared" si="10"/>
        <v> Montero</v>
      </c>
      <c r="D86" s="162"/>
      <c r="E86" s="161"/>
      <c r="F86" s="152"/>
      <c r="G86" s="152"/>
      <c r="H86" s="152"/>
      <c r="I86" s="152"/>
      <c r="J86" s="152"/>
      <c r="K86" s="129">
        <v>39.0</v>
      </c>
      <c r="L86" s="156" t="str">
        <f t="shared" si="12"/>
        <v> Mullen</v>
      </c>
      <c r="M86" s="162"/>
      <c r="N86" s="161"/>
      <c r="O86" s="152"/>
      <c r="P86" s="152"/>
      <c r="Q86" s="152"/>
      <c r="R86" s="152"/>
      <c r="S86" s="152"/>
      <c r="T86" s="132"/>
      <c r="U86" s="7"/>
    </row>
    <row r="87">
      <c r="A87" s="8"/>
      <c r="B87" s="129">
        <v>39.0</v>
      </c>
      <c r="C87" s="156" t="str">
        <f t="shared" si="10"/>
        <v> Bonnstetter</v>
      </c>
      <c r="D87" s="162"/>
      <c r="E87" s="161"/>
      <c r="F87" s="152"/>
      <c r="G87" s="152"/>
      <c r="H87" s="152"/>
      <c r="I87" s="152"/>
      <c r="J87" s="152"/>
      <c r="K87" s="129">
        <v>39.0</v>
      </c>
      <c r="L87" s="156" t="str">
        <f t="shared" si="12"/>
        <v> Bashour</v>
      </c>
      <c r="M87" s="162"/>
      <c r="N87" s="161"/>
      <c r="O87" s="152"/>
      <c r="P87" s="152"/>
      <c r="Q87" s="152"/>
      <c r="R87" s="152"/>
      <c r="S87" s="152"/>
      <c r="T87" s="132"/>
      <c r="U87" s="7"/>
    </row>
    <row r="88">
      <c r="A88" s="8"/>
      <c r="B88" s="129">
        <v>40.0</v>
      </c>
      <c r="C88" s="156" t="str">
        <f t="shared" si="10"/>
        <v> Montero</v>
      </c>
      <c r="D88" s="162"/>
      <c r="E88" s="161"/>
      <c r="F88" s="152"/>
      <c r="G88" s="152"/>
      <c r="H88" s="152"/>
      <c r="I88" s="152"/>
      <c r="J88" s="152"/>
      <c r="K88" s="129">
        <v>40.0</v>
      </c>
      <c r="L88" s="156" t="str">
        <f t="shared" si="12"/>
        <v> Mullen</v>
      </c>
      <c r="M88" s="162"/>
      <c r="N88" s="161"/>
      <c r="O88" s="152"/>
      <c r="P88" s="152"/>
      <c r="Q88" s="152"/>
      <c r="R88" s="152"/>
      <c r="S88" s="152"/>
      <c r="T88" s="132"/>
      <c r="U88" s="7"/>
    </row>
    <row r="89">
      <c r="A89" s="8"/>
      <c r="B89" s="129">
        <v>40.0</v>
      </c>
      <c r="C89" s="156" t="str">
        <f t="shared" si="10"/>
        <v> Bonnstetter</v>
      </c>
      <c r="D89" s="162"/>
      <c r="E89" s="161"/>
      <c r="F89" s="152"/>
      <c r="G89" s="152"/>
      <c r="H89" s="152"/>
      <c r="I89" s="152"/>
      <c r="J89" s="152"/>
      <c r="K89" s="129">
        <v>40.0</v>
      </c>
      <c r="L89" s="156" t="str">
        <f t="shared" si="12"/>
        <v> Bashour</v>
      </c>
      <c r="M89" s="162"/>
      <c r="N89" s="161"/>
      <c r="O89" s="152"/>
      <c r="P89" s="152"/>
      <c r="Q89" s="152"/>
      <c r="R89" s="152"/>
      <c r="S89" s="152"/>
      <c r="T89" s="132"/>
      <c r="U89" s="7"/>
    </row>
    <row r="90">
      <c r="A90" s="170"/>
      <c r="B90" s="141"/>
      <c r="C90" s="141"/>
      <c r="D90" s="171"/>
      <c r="E90" s="172"/>
      <c r="F90" s="173"/>
      <c r="G90" s="173"/>
      <c r="H90" s="173"/>
      <c r="I90" s="173"/>
      <c r="J90" s="173"/>
      <c r="K90" s="138"/>
      <c r="L90" s="141"/>
      <c r="M90" s="171"/>
      <c r="N90" s="172"/>
      <c r="O90" s="173"/>
      <c r="P90" s="173"/>
      <c r="Q90" s="173"/>
      <c r="R90" s="173"/>
      <c r="S90" s="173"/>
      <c r="T90" s="143"/>
      <c r="U90" s="7"/>
    </row>
    <row r="91">
      <c r="A91" s="19"/>
      <c r="B91" s="20"/>
      <c r="C91" s="20"/>
      <c r="D91" s="174"/>
      <c r="E91" s="174"/>
      <c r="F91" s="174"/>
      <c r="G91" s="174"/>
      <c r="H91" s="174"/>
      <c r="I91" s="174"/>
      <c r="J91" s="174"/>
      <c r="K91" s="20"/>
      <c r="L91" s="20"/>
      <c r="M91" s="174"/>
      <c r="N91" s="174"/>
      <c r="O91" s="174"/>
      <c r="P91" s="174"/>
      <c r="Q91" s="174"/>
      <c r="R91" s="174"/>
      <c r="S91" s="174"/>
      <c r="T91" s="20"/>
      <c r="U91" s="18"/>
    </row>
    <row r="92">
      <c r="D92" s="152"/>
      <c r="E92" s="152"/>
      <c r="F92" s="152"/>
      <c r="G92" s="152"/>
      <c r="H92" s="152"/>
      <c r="I92" s="152"/>
      <c r="J92" s="152"/>
      <c r="M92" s="152"/>
      <c r="N92" s="152"/>
      <c r="O92" s="152"/>
      <c r="P92" s="152"/>
      <c r="Q92" s="152"/>
      <c r="R92" s="152"/>
      <c r="S92" s="152"/>
    </row>
    <row r="93">
      <c r="D93" s="152"/>
      <c r="E93" s="152"/>
      <c r="F93" s="152"/>
      <c r="G93" s="152"/>
      <c r="H93" s="152"/>
      <c r="I93" s="152"/>
      <c r="J93" s="152"/>
      <c r="M93" s="152"/>
      <c r="N93" s="152"/>
      <c r="O93" s="152"/>
      <c r="P93" s="152"/>
      <c r="Q93" s="152"/>
      <c r="R93" s="152"/>
      <c r="S93" s="152"/>
    </row>
    <row r="94">
      <c r="D94" s="152"/>
      <c r="E94" s="152"/>
      <c r="F94" s="152"/>
      <c r="G94" s="152"/>
      <c r="H94" s="152"/>
      <c r="I94" s="152"/>
      <c r="J94" s="152"/>
      <c r="M94" s="152"/>
      <c r="N94" s="152"/>
      <c r="O94" s="152"/>
      <c r="P94" s="152"/>
      <c r="Q94" s="152"/>
      <c r="R94" s="152"/>
      <c r="S94" s="152"/>
    </row>
    <row r="95">
      <c r="D95" s="152"/>
      <c r="E95" s="152"/>
      <c r="F95" s="152"/>
      <c r="G95" s="152"/>
      <c r="H95" s="152"/>
      <c r="I95" s="152"/>
      <c r="J95" s="152"/>
      <c r="M95" s="152"/>
      <c r="N95" s="152"/>
      <c r="O95" s="152"/>
      <c r="P95" s="152"/>
      <c r="Q95" s="152"/>
      <c r="R95" s="152"/>
      <c r="S95" s="152"/>
    </row>
    <row r="96">
      <c r="D96" s="152"/>
      <c r="E96" s="152"/>
      <c r="F96" s="152"/>
      <c r="G96" s="152"/>
      <c r="H96" s="152"/>
      <c r="I96" s="152"/>
      <c r="J96" s="152"/>
      <c r="M96" s="152"/>
      <c r="N96" s="152"/>
      <c r="O96" s="152"/>
      <c r="P96" s="152"/>
      <c r="Q96" s="152"/>
      <c r="R96" s="152"/>
      <c r="S96" s="152"/>
    </row>
    <row r="97">
      <c r="D97" s="152"/>
      <c r="E97" s="152"/>
      <c r="F97" s="152"/>
      <c r="G97" s="152"/>
      <c r="H97" s="152"/>
      <c r="I97" s="152"/>
      <c r="J97" s="152"/>
      <c r="M97" s="152"/>
      <c r="N97" s="152"/>
      <c r="O97" s="152"/>
      <c r="P97" s="152"/>
      <c r="Q97" s="152"/>
      <c r="R97" s="152"/>
      <c r="S97" s="152"/>
    </row>
    <row r="98">
      <c r="D98" s="152"/>
      <c r="E98" s="152"/>
      <c r="F98" s="152"/>
      <c r="G98" s="152"/>
      <c r="H98" s="152"/>
      <c r="I98" s="152"/>
      <c r="J98" s="152"/>
      <c r="M98" s="152"/>
      <c r="N98" s="152"/>
      <c r="O98" s="152"/>
      <c r="P98" s="152"/>
      <c r="Q98" s="152"/>
      <c r="R98" s="152"/>
      <c r="S98" s="152"/>
    </row>
    <row r="99">
      <c r="D99" s="152"/>
      <c r="E99" s="152"/>
      <c r="F99" s="152"/>
      <c r="G99" s="152"/>
      <c r="H99" s="152"/>
      <c r="I99" s="152"/>
      <c r="J99" s="152"/>
      <c r="M99" s="152"/>
      <c r="N99" s="152"/>
      <c r="O99" s="152"/>
      <c r="P99" s="152"/>
      <c r="Q99" s="152"/>
      <c r="R99" s="152"/>
      <c r="S99" s="152"/>
    </row>
    <row r="100">
      <c r="D100" s="152"/>
      <c r="E100" s="152"/>
      <c r="F100" s="152"/>
      <c r="G100" s="152"/>
      <c r="H100" s="152"/>
      <c r="I100" s="152"/>
      <c r="J100" s="152"/>
      <c r="M100" s="152"/>
      <c r="N100" s="152"/>
      <c r="O100" s="152"/>
      <c r="P100" s="152"/>
      <c r="Q100" s="152"/>
      <c r="R100" s="152"/>
      <c r="S100" s="152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83</v>
      </c>
      <c r="D3" s="128">
        <f t="shared" ref="D3:J3" si="1">SUMPRODUCT(D10:D90,MOD(ROW(D10:D90),2)=0)</f>
        <v>10</v>
      </c>
      <c r="E3" s="128">
        <f t="shared" si="1"/>
        <v>7</v>
      </c>
      <c r="F3" s="128">
        <f t="shared" si="1"/>
        <v>1</v>
      </c>
      <c r="G3" s="128">
        <f t="shared" si="1"/>
        <v>1</v>
      </c>
      <c r="H3" s="128">
        <f t="shared" si="1"/>
        <v>0</v>
      </c>
      <c r="I3" s="128">
        <f t="shared" si="1"/>
        <v>0</v>
      </c>
      <c r="J3" s="128">
        <f t="shared" si="1"/>
        <v>0</v>
      </c>
      <c r="K3" s="129" t="s">
        <v>178</v>
      </c>
      <c r="L3" s="130" t="s">
        <v>105</v>
      </c>
      <c r="M3" s="128">
        <f t="shared" ref="M3:S3" si="2">SUMPRODUCT(M10:M90,MOD(ROW(M10:M90),2)=0)</f>
        <v>11</v>
      </c>
      <c r="N3" s="128">
        <f t="shared" si="2"/>
        <v>3</v>
      </c>
      <c r="O3" s="128">
        <f t="shared" si="2"/>
        <v>0</v>
      </c>
      <c r="P3" s="128">
        <f t="shared" si="2"/>
        <v>0</v>
      </c>
      <c r="Q3" s="128">
        <f t="shared" si="2"/>
        <v>0</v>
      </c>
      <c r="R3" s="128">
        <f t="shared" si="2"/>
        <v>0</v>
      </c>
      <c r="S3" s="131">
        <f t="shared" si="2"/>
        <v>0</v>
      </c>
      <c r="T3" s="132"/>
      <c r="U3" s="7"/>
    </row>
    <row r="4">
      <c r="A4" s="125"/>
      <c r="B4" s="126" t="s">
        <v>179</v>
      </c>
      <c r="C4" s="127" t="s">
        <v>110</v>
      </c>
      <c r="D4" s="133">
        <f t="shared" ref="D4:J4" si="3">SUMPRODUCT(D10:D90,MOD(ROW(D10:D90),2))</f>
        <v>13</v>
      </c>
      <c r="E4" s="133">
        <f t="shared" si="3"/>
        <v>3</v>
      </c>
      <c r="F4" s="133">
        <f t="shared" si="3"/>
        <v>0</v>
      </c>
      <c r="G4" s="133">
        <f t="shared" si="3"/>
        <v>2</v>
      </c>
      <c r="H4" s="133">
        <f t="shared" si="3"/>
        <v>0</v>
      </c>
      <c r="I4" s="133">
        <f t="shared" si="3"/>
        <v>0</v>
      </c>
      <c r="J4" s="133">
        <f t="shared" si="3"/>
        <v>0</v>
      </c>
      <c r="K4" s="129" t="s">
        <v>179</v>
      </c>
      <c r="L4" s="127" t="s">
        <v>104</v>
      </c>
      <c r="M4" s="133">
        <f t="shared" ref="M4:S4" si="4">SUMPRODUCT(M10:M90,MOD(ROW(M10:M90),2))</f>
        <v>12</v>
      </c>
      <c r="N4" s="133">
        <f t="shared" si="4"/>
        <v>2</v>
      </c>
      <c r="O4" s="133">
        <f t="shared" si="4"/>
        <v>1</v>
      </c>
      <c r="P4" s="133">
        <f t="shared" si="4"/>
        <v>2</v>
      </c>
      <c r="Q4" s="133">
        <f t="shared" si="4"/>
        <v>0</v>
      </c>
      <c r="R4" s="133">
        <f t="shared" si="4"/>
        <v>0</v>
      </c>
      <c r="S4" s="134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Benton %</v>
      </c>
      <c r="D5" s="137">
        <f t="shared" ref="D5:D6" si="6">IFERROR((E3/(E3+D3)),0)</f>
        <v>0.4117647059</v>
      </c>
      <c r="K5" s="135"/>
      <c r="L5" s="136" t="str">
        <f t="shared" ref="L5:L6" si="7">IFERROR((L10 &amp;" %"), "")</f>
        <v> Mishra %</v>
      </c>
      <c r="M5" s="137">
        <f t="shared" ref="M5:M6" si="8">IFERROR((N3/(N3+M3)),0)</f>
        <v>0.2142857143</v>
      </c>
      <c r="S5" s="132"/>
      <c r="T5" s="132"/>
      <c r="U5" s="7"/>
    </row>
    <row r="6">
      <c r="A6" s="14"/>
      <c r="B6" s="138"/>
      <c r="C6" s="139" t="str">
        <f t="shared" si="5"/>
        <v> Drolet %</v>
      </c>
      <c r="D6" s="140">
        <f t="shared" si="6"/>
        <v>0.1875</v>
      </c>
      <c r="E6" s="141"/>
      <c r="F6" s="141"/>
      <c r="G6" s="141"/>
      <c r="H6" s="141"/>
      <c r="I6" s="141"/>
      <c r="J6" s="141"/>
      <c r="K6" s="138"/>
      <c r="L6" s="139" t="str">
        <f t="shared" si="7"/>
        <v> Bartlett %</v>
      </c>
      <c r="M6" s="142">
        <f t="shared" si="8"/>
        <v>0.1428571429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Benton")</f>
        <v> Benton</v>
      </c>
      <c r="D10" s="149">
        <v>1.0</v>
      </c>
      <c r="E10" s="157"/>
      <c r="F10" s="155"/>
      <c r="G10" s="155"/>
      <c r="H10" s="133"/>
      <c r="I10" s="177"/>
      <c r="K10" s="129">
        <v>1.0</v>
      </c>
      <c r="L10" s="136" t="str">
        <f>IFERROR(__xludf.DUMMYFUNCTION("REGEXEXTRACT(L3, ""( .*)+"")")," Mishra")</f>
        <v> Mishra</v>
      </c>
      <c r="M10" s="149">
        <v>1.0</v>
      </c>
      <c r="N10" s="154"/>
      <c r="O10" s="133"/>
      <c r="P10" s="155"/>
      <c r="Q10" s="133"/>
      <c r="R10" s="177"/>
      <c r="T10" s="132"/>
      <c r="U10" s="7"/>
    </row>
    <row r="11">
      <c r="A11" s="8"/>
      <c r="B11" s="129">
        <v>1.0</v>
      </c>
      <c r="C11" s="136" t="str">
        <f>IFERROR(__xludf.DUMMYFUNCTION("REGEXEXTRACT(C4, ""( .*)+"")")," Drolet")</f>
        <v> Drolet</v>
      </c>
      <c r="D11" s="149">
        <v>1.0</v>
      </c>
      <c r="E11" s="154"/>
      <c r="F11" s="133"/>
      <c r="G11" s="133"/>
      <c r="H11" s="133"/>
      <c r="I11" s="177"/>
      <c r="K11" s="129">
        <v>1.0</v>
      </c>
      <c r="L11" s="136" t="str">
        <f>IFERROR(__xludf.DUMMYFUNCTION("REGEXEXTRACT(L4, ""( .*)+"")")," Bartlett")</f>
        <v> Bartlett</v>
      </c>
      <c r="M11" s="153"/>
      <c r="N11" s="150">
        <v>1.0</v>
      </c>
      <c r="O11" s="133"/>
      <c r="P11" s="133"/>
      <c r="Q11" s="133"/>
      <c r="R11" s="177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Benton</v>
      </c>
      <c r="D12" s="149">
        <v>1.0</v>
      </c>
      <c r="E12" s="154"/>
      <c r="F12" s="151">
        <v>1.0</v>
      </c>
      <c r="G12" s="133"/>
      <c r="H12" s="133"/>
      <c r="I12" s="177"/>
      <c r="K12" s="129">
        <f t="shared" ref="K12:K69" si="11">K10+1</f>
        <v>2</v>
      </c>
      <c r="L12" s="156" t="str">
        <f t="shared" ref="L12:L89" si="12">L10</f>
        <v> Mishra</v>
      </c>
      <c r="M12" s="149">
        <v>1.0</v>
      </c>
      <c r="N12" s="154"/>
      <c r="O12" s="133"/>
      <c r="P12" s="133"/>
      <c r="Q12" s="133"/>
      <c r="R12" s="177"/>
      <c r="T12" s="132"/>
      <c r="U12" s="7"/>
    </row>
    <row r="13">
      <c r="A13" s="14"/>
      <c r="B13" s="135">
        <f t="shared" si="9"/>
        <v>2</v>
      </c>
      <c r="C13" s="156" t="str">
        <f t="shared" si="10"/>
        <v> Drolet</v>
      </c>
      <c r="D13" s="149">
        <v>1.0</v>
      </c>
      <c r="E13" s="154"/>
      <c r="F13" s="133"/>
      <c r="G13" s="133"/>
      <c r="H13" s="133"/>
      <c r="I13" s="177"/>
      <c r="K13" s="135">
        <f t="shared" si="11"/>
        <v>2</v>
      </c>
      <c r="L13" s="156" t="str">
        <f t="shared" si="12"/>
        <v> Bartlett</v>
      </c>
      <c r="M13" s="149">
        <v>1.0</v>
      </c>
      <c r="N13" s="157"/>
      <c r="O13" s="133"/>
      <c r="P13" s="133"/>
      <c r="Q13" s="133"/>
      <c r="R13" s="177"/>
      <c r="T13" s="132"/>
      <c r="U13" s="7"/>
    </row>
    <row r="14">
      <c r="A14" s="8"/>
      <c r="B14" s="129">
        <f t="shared" si="9"/>
        <v>3</v>
      </c>
      <c r="C14" s="156" t="str">
        <f t="shared" si="10"/>
        <v> Benton</v>
      </c>
      <c r="D14" s="153"/>
      <c r="E14" s="150">
        <v>1.0</v>
      </c>
      <c r="F14" s="133"/>
      <c r="G14" s="133"/>
      <c r="H14" s="133"/>
      <c r="I14" s="177"/>
      <c r="K14" s="129">
        <f t="shared" si="11"/>
        <v>3</v>
      </c>
      <c r="L14" s="156" t="str">
        <f t="shared" si="12"/>
        <v> Mishra</v>
      </c>
      <c r="M14" s="153"/>
      <c r="N14" s="150">
        <v>1.0</v>
      </c>
      <c r="O14" s="133"/>
      <c r="P14" s="133"/>
      <c r="Q14" s="133"/>
      <c r="R14" s="177"/>
      <c r="T14" s="132"/>
      <c r="U14" s="7"/>
    </row>
    <row r="15">
      <c r="A15" s="14"/>
      <c r="B15" s="135">
        <f t="shared" si="9"/>
        <v>3</v>
      </c>
      <c r="C15" s="156" t="str">
        <f t="shared" si="10"/>
        <v> Drolet</v>
      </c>
      <c r="D15" s="149">
        <v>1.0</v>
      </c>
      <c r="E15" s="154"/>
      <c r="F15" s="133"/>
      <c r="G15" s="133"/>
      <c r="H15" s="133"/>
      <c r="I15" s="177"/>
      <c r="K15" s="135">
        <f t="shared" si="11"/>
        <v>3</v>
      </c>
      <c r="L15" s="156" t="str">
        <f t="shared" si="12"/>
        <v> Bartlett</v>
      </c>
      <c r="M15" s="149">
        <v>1.0</v>
      </c>
      <c r="N15" s="157"/>
      <c r="O15" s="151">
        <v>1.0</v>
      </c>
      <c r="P15" s="133"/>
      <c r="Q15" s="133"/>
      <c r="R15" s="177"/>
      <c r="T15" s="132"/>
      <c r="U15" s="7"/>
    </row>
    <row r="16">
      <c r="A16" s="8"/>
      <c r="B16" s="129">
        <f t="shared" si="9"/>
        <v>4</v>
      </c>
      <c r="C16" s="156" t="str">
        <f t="shared" si="10"/>
        <v> Benton</v>
      </c>
      <c r="D16" s="149">
        <v>1.0</v>
      </c>
      <c r="E16" s="157"/>
      <c r="F16" s="133"/>
      <c r="G16" s="133"/>
      <c r="H16" s="133"/>
      <c r="I16" s="177"/>
      <c r="K16" s="129">
        <f t="shared" si="11"/>
        <v>4</v>
      </c>
      <c r="L16" s="156" t="str">
        <f t="shared" si="12"/>
        <v> Mishra</v>
      </c>
      <c r="M16" s="149">
        <v>1.0</v>
      </c>
      <c r="N16" s="157"/>
      <c r="O16" s="133"/>
      <c r="P16" s="133"/>
      <c r="Q16" s="133"/>
      <c r="R16" s="177"/>
      <c r="T16" s="132"/>
      <c r="U16" s="7"/>
    </row>
    <row r="17">
      <c r="A17" s="14"/>
      <c r="B17" s="135">
        <f t="shared" si="9"/>
        <v>4</v>
      </c>
      <c r="C17" s="156" t="str">
        <f t="shared" si="10"/>
        <v> Drolet</v>
      </c>
      <c r="D17" s="149">
        <v>1.0</v>
      </c>
      <c r="E17" s="154"/>
      <c r="F17" s="133"/>
      <c r="G17" s="133"/>
      <c r="H17" s="133"/>
      <c r="I17" s="177"/>
      <c r="K17" s="135">
        <f t="shared" si="11"/>
        <v>4</v>
      </c>
      <c r="L17" s="156" t="str">
        <f t="shared" si="12"/>
        <v> Bartlett</v>
      </c>
      <c r="M17" s="149">
        <v>1.0</v>
      </c>
      <c r="N17" s="154"/>
      <c r="O17" s="133"/>
      <c r="P17" s="133"/>
      <c r="Q17" s="133"/>
      <c r="R17" s="177"/>
      <c r="T17" s="132"/>
      <c r="U17" s="7"/>
    </row>
    <row r="18">
      <c r="A18" s="8"/>
      <c r="B18" s="129">
        <f t="shared" si="9"/>
        <v>5</v>
      </c>
      <c r="C18" s="156" t="str">
        <f t="shared" si="10"/>
        <v> Benton</v>
      </c>
      <c r="D18" s="153"/>
      <c r="E18" s="150">
        <v>1.0</v>
      </c>
      <c r="F18" s="133"/>
      <c r="G18" s="133"/>
      <c r="H18" s="133"/>
      <c r="I18" s="177"/>
      <c r="K18" s="129">
        <f t="shared" si="11"/>
        <v>5</v>
      </c>
      <c r="L18" s="156" t="str">
        <f t="shared" si="12"/>
        <v> Mishra</v>
      </c>
      <c r="M18" s="149">
        <v>1.0</v>
      </c>
      <c r="N18" s="157"/>
      <c r="O18" s="133"/>
      <c r="P18" s="133"/>
      <c r="Q18" s="133"/>
      <c r="R18" s="177"/>
      <c r="T18" s="132"/>
      <c r="U18" s="7"/>
    </row>
    <row r="19">
      <c r="A19" s="14"/>
      <c r="B19" s="135">
        <f t="shared" si="9"/>
        <v>5</v>
      </c>
      <c r="C19" s="156" t="str">
        <f t="shared" si="10"/>
        <v> Drolet</v>
      </c>
      <c r="D19" s="153"/>
      <c r="E19" s="150">
        <v>1.0</v>
      </c>
      <c r="F19" s="133"/>
      <c r="G19" s="133"/>
      <c r="H19" s="133"/>
      <c r="I19" s="177"/>
      <c r="K19" s="135">
        <f t="shared" si="11"/>
        <v>5</v>
      </c>
      <c r="L19" s="156" t="str">
        <f t="shared" si="12"/>
        <v> Bartlett</v>
      </c>
      <c r="M19" s="149">
        <v>1.0</v>
      </c>
      <c r="N19" s="154"/>
      <c r="O19" s="133"/>
      <c r="P19" s="133"/>
      <c r="Q19" s="133"/>
      <c r="R19" s="177"/>
      <c r="T19" s="132"/>
      <c r="U19" s="7"/>
    </row>
    <row r="20">
      <c r="A20" s="8"/>
      <c r="B20" s="129">
        <f t="shared" si="9"/>
        <v>6</v>
      </c>
      <c r="C20" s="156" t="str">
        <f t="shared" si="10"/>
        <v> Benton</v>
      </c>
      <c r="D20" s="149">
        <v>1.0</v>
      </c>
      <c r="E20" s="154"/>
      <c r="F20" s="133"/>
      <c r="G20" s="133"/>
      <c r="H20" s="133"/>
      <c r="I20" s="177"/>
      <c r="K20" s="129">
        <f t="shared" si="11"/>
        <v>6</v>
      </c>
      <c r="L20" s="156" t="str">
        <f t="shared" si="12"/>
        <v> Mishra</v>
      </c>
      <c r="M20" s="153"/>
      <c r="N20" s="150">
        <v>1.0</v>
      </c>
      <c r="O20" s="133"/>
      <c r="P20" s="133"/>
      <c r="Q20" s="133"/>
      <c r="R20" s="177"/>
      <c r="T20" s="132"/>
      <c r="U20" s="7"/>
    </row>
    <row r="21">
      <c r="A21" s="14"/>
      <c r="B21" s="135">
        <f t="shared" si="9"/>
        <v>6</v>
      </c>
      <c r="C21" s="156" t="str">
        <f t="shared" si="10"/>
        <v> Drolet</v>
      </c>
      <c r="D21" s="149">
        <v>1.0</v>
      </c>
      <c r="E21" s="157"/>
      <c r="F21" s="133"/>
      <c r="G21" s="133"/>
      <c r="H21" s="133"/>
      <c r="I21" s="177"/>
      <c r="K21" s="135">
        <f t="shared" si="11"/>
        <v>6</v>
      </c>
      <c r="L21" s="156" t="str">
        <f t="shared" si="12"/>
        <v> Bartlett</v>
      </c>
      <c r="M21" s="149">
        <v>1.0</v>
      </c>
      <c r="N21" s="157"/>
      <c r="O21" s="133"/>
      <c r="P21" s="133"/>
      <c r="Q21" s="133"/>
      <c r="R21" s="177"/>
      <c r="T21" s="132"/>
      <c r="U21" s="7"/>
    </row>
    <row r="22">
      <c r="A22" s="8"/>
      <c r="B22" s="129">
        <f t="shared" si="9"/>
        <v>7</v>
      </c>
      <c r="C22" s="156" t="str">
        <f t="shared" si="10"/>
        <v> Benton</v>
      </c>
      <c r="D22" s="149">
        <v>1.0</v>
      </c>
      <c r="E22" s="157"/>
      <c r="F22" s="133"/>
      <c r="G22" s="133"/>
      <c r="H22" s="133"/>
      <c r="I22" s="177"/>
      <c r="K22" s="129">
        <f t="shared" si="11"/>
        <v>7</v>
      </c>
      <c r="L22" s="156" t="str">
        <f t="shared" si="12"/>
        <v> Mishra</v>
      </c>
      <c r="M22" s="149">
        <v>1.0</v>
      </c>
      <c r="N22" s="157"/>
      <c r="O22" s="133"/>
      <c r="P22" s="133"/>
      <c r="Q22" s="133"/>
      <c r="R22" s="177"/>
      <c r="T22" s="132"/>
      <c r="U22" s="7"/>
    </row>
    <row r="23">
      <c r="A23" s="14"/>
      <c r="B23" s="135">
        <f t="shared" si="9"/>
        <v>7</v>
      </c>
      <c r="C23" s="156" t="str">
        <f t="shared" si="10"/>
        <v> Drolet</v>
      </c>
      <c r="D23" s="149">
        <v>1.0</v>
      </c>
      <c r="E23" s="157"/>
      <c r="F23" s="133"/>
      <c r="G23" s="133"/>
      <c r="H23" s="133"/>
      <c r="I23" s="177"/>
      <c r="K23" s="135">
        <f t="shared" si="11"/>
        <v>7</v>
      </c>
      <c r="L23" s="156" t="str">
        <f t="shared" si="12"/>
        <v> Bartlett</v>
      </c>
      <c r="M23" s="149">
        <v>1.0</v>
      </c>
      <c r="N23" s="157"/>
      <c r="O23" s="133"/>
      <c r="P23" s="133"/>
      <c r="Q23" s="133"/>
      <c r="R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 Benton</v>
      </c>
      <c r="D24" s="149">
        <v>1.0</v>
      </c>
      <c r="E24" s="157"/>
      <c r="F24" s="133"/>
      <c r="G24" s="133"/>
      <c r="H24" s="133"/>
      <c r="I24" s="177"/>
      <c r="K24" s="129">
        <f t="shared" si="11"/>
        <v>8</v>
      </c>
      <c r="L24" s="156" t="str">
        <f t="shared" si="12"/>
        <v> Mishra</v>
      </c>
      <c r="M24" s="149">
        <v>1.0</v>
      </c>
      <c r="N24" s="157"/>
      <c r="O24" s="133"/>
      <c r="P24" s="133"/>
      <c r="Q24" s="133"/>
      <c r="R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 Drolet</v>
      </c>
      <c r="D25" s="149">
        <v>1.0</v>
      </c>
      <c r="E25" s="157"/>
      <c r="F25" s="133"/>
      <c r="G25" s="133"/>
      <c r="H25" s="133"/>
      <c r="I25" s="177"/>
      <c r="K25" s="135">
        <f t="shared" si="11"/>
        <v>8</v>
      </c>
      <c r="L25" s="156" t="str">
        <f t="shared" si="12"/>
        <v> Bartlett</v>
      </c>
      <c r="M25" s="158"/>
      <c r="N25" s="150">
        <v>1.0</v>
      </c>
      <c r="O25" s="133"/>
      <c r="P25" s="133"/>
      <c r="Q25" s="133"/>
      <c r="R25" s="177"/>
      <c r="T25" s="132"/>
      <c r="U25" s="7"/>
    </row>
    <row r="26">
      <c r="A26" s="8"/>
      <c r="B26" s="129">
        <f t="shared" si="9"/>
        <v>9</v>
      </c>
      <c r="C26" s="156" t="str">
        <f t="shared" si="10"/>
        <v> Benton</v>
      </c>
      <c r="D26" s="149">
        <v>1.0</v>
      </c>
      <c r="E26" s="157"/>
      <c r="F26" s="133"/>
      <c r="G26" s="133"/>
      <c r="H26" s="133"/>
      <c r="I26" s="177"/>
      <c r="K26" s="129">
        <f t="shared" si="11"/>
        <v>9</v>
      </c>
      <c r="L26" s="156" t="str">
        <f t="shared" si="12"/>
        <v> Mishra</v>
      </c>
      <c r="M26" s="153"/>
      <c r="N26" s="150">
        <v>1.0</v>
      </c>
      <c r="O26" s="133"/>
      <c r="P26" s="133"/>
      <c r="Q26" s="133"/>
      <c r="R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 Drolet</v>
      </c>
      <c r="D27" s="149">
        <v>1.0</v>
      </c>
      <c r="E27" s="157"/>
      <c r="F27" s="133"/>
      <c r="G27" s="151">
        <v>1.0</v>
      </c>
      <c r="H27" s="133"/>
      <c r="I27" s="177"/>
      <c r="K27" s="135">
        <f t="shared" si="11"/>
        <v>9</v>
      </c>
      <c r="L27" s="156" t="str">
        <f t="shared" si="12"/>
        <v> Bartlett</v>
      </c>
      <c r="M27" s="149">
        <v>1.0</v>
      </c>
      <c r="N27" s="157"/>
      <c r="O27" s="133"/>
      <c r="P27" s="133"/>
      <c r="Q27" s="133"/>
      <c r="R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 Benton</v>
      </c>
      <c r="D28" s="149">
        <v>1.0</v>
      </c>
      <c r="E28" s="157"/>
      <c r="F28" s="133"/>
      <c r="G28" s="133"/>
      <c r="H28" s="133"/>
      <c r="I28" s="177"/>
      <c r="K28" s="129">
        <f t="shared" si="11"/>
        <v>10</v>
      </c>
      <c r="L28" s="156" t="str">
        <f t="shared" si="12"/>
        <v> Mishra</v>
      </c>
      <c r="M28" s="149">
        <v>1.0</v>
      </c>
      <c r="N28" s="157"/>
      <c r="O28" s="133"/>
      <c r="P28" s="133"/>
      <c r="Q28" s="133"/>
      <c r="R28" s="177"/>
      <c r="T28" s="132"/>
      <c r="U28" s="7"/>
    </row>
    <row r="29">
      <c r="A29" s="14"/>
      <c r="B29" s="135">
        <f t="shared" si="9"/>
        <v>10</v>
      </c>
      <c r="C29" s="156" t="str">
        <f t="shared" si="10"/>
        <v> Drolet</v>
      </c>
      <c r="D29" s="153"/>
      <c r="E29" s="150">
        <v>1.0</v>
      </c>
      <c r="F29" s="133"/>
      <c r="G29" s="133"/>
      <c r="H29" s="133"/>
      <c r="I29" s="177"/>
      <c r="K29" s="135">
        <f t="shared" si="11"/>
        <v>10</v>
      </c>
      <c r="L29" s="156" t="str">
        <f t="shared" si="12"/>
        <v> Bartlett</v>
      </c>
      <c r="M29" s="149">
        <v>1.0</v>
      </c>
      <c r="N29" s="157"/>
      <c r="O29" s="133"/>
      <c r="P29" s="133"/>
      <c r="Q29" s="133"/>
      <c r="R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 Benton</v>
      </c>
      <c r="D30" s="153"/>
      <c r="E30" s="150">
        <v>1.0</v>
      </c>
      <c r="F30" s="133"/>
      <c r="G30" s="133"/>
      <c r="H30" s="133"/>
      <c r="I30" s="177"/>
      <c r="K30" s="129">
        <f t="shared" si="11"/>
        <v>11</v>
      </c>
      <c r="L30" s="156" t="str">
        <f t="shared" si="12"/>
        <v> Mishra</v>
      </c>
      <c r="M30" s="149">
        <v>1.0</v>
      </c>
      <c r="N30" s="157"/>
      <c r="O30" s="133"/>
      <c r="P30" s="133"/>
      <c r="Q30" s="133"/>
      <c r="R30" s="177"/>
      <c r="T30" s="132"/>
      <c r="U30" s="7"/>
    </row>
    <row r="31">
      <c r="A31" s="14"/>
      <c r="B31" s="135">
        <f t="shared" si="9"/>
        <v>11</v>
      </c>
      <c r="C31" s="156" t="str">
        <f t="shared" si="10"/>
        <v> Drolet</v>
      </c>
      <c r="D31" s="149">
        <v>1.0</v>
      </c>
      <c r="E31" s="157"/>
      <c r="F31" s="133"/>
      <c r="G31" s="133"/>
      <c r="H31" s="133"/>
      <c r="I31" s="177"/>
      <c r="K31" s="135">
        <f t="shared" si="11"/>
        <v>11</v>
      </c>
      <c r="L31" s="156" t="str">
        <f t="shared" si="12"/>
        <v> Bartlett</v>
      </c>
      <c r="M31" s="149">
        <v>1.0</v>
      </c>
      <c r="N31" s="154"/>
      <c r="O31" s="133"/>
      <c r="P31" s="151">
        <v>1.0</v>
      </c>
      <c r="Q31" s="133"/>
      <c r="R31" s="177"/>
      <c r="T31" s="132"/>
      <c r="U31" s="7"/>
    </row>
    <row r="32">
      <c r="A32" s="8"/>
      <c r="B32" s="129">
        <f t="shared" si="9"/>
        <v>12</v>
      </c>
      <c r="C32" s="156" t="str">
        <f t="shared" si="10"/>
        <v> Benton</v>
      </c>
      <c r="D32" s="153"/>
      <c r="E32" s="150">
        <v>1.0</v>
      </c>
      <c r="F32" s="133"/>
      <c r="G32" s="133"/>
      <c r="H32" s="133"/>
      <c r="I32" s="177"/>
      <c r="K32" s="129">
        <f t="shared" si="11"/>
        <v>12</v>
      </c>
      <c r="L32" s="156" t="str">
        <f t="shared" si="12"/>
        <v> Mishra</v>
      </c>
      <c r="M32" s="149">
        <v>1.0</v>
      </c>
      <c r="N32" s="157"/>
      <c r="O32" s="133"/>
      <c r="P32" s="133"/>
      <c r="Q32" s="133"/>
      <c r="R32" s="177"/>
      <c r="T32" s="132"/>
      <c r="U32" s="7"/>
    </row>
    <row r="33">
      <c r="A33" s="14"/>
      <c r="B33" s="135">
        <f t="shared" si="9"/>
        <v>12</v>
      </c>
      <c r="C33" s="156" t="str">
        <f t="shared" si="10"/>
        <v> Drolet</v>
      </c>
      <c r="D33" s="153"/>
      <c r="E33" s="150">
        <v>1.0</v>
      </c>
      <c r="F33" s="133"/>
      <c r="G33" s="133"/>
      <c r="H33" s="133"/>
      <c r="I33" s="177"/>
      <c r="K33" s="135">
        <f t="shared" si="11"/>
        <v>12</v>
      </c>
      <c r="L33" s="156" t="str">
        <f t="shared" si="12"/>
        <v> Bartlett</v>
      </c>
      <c r="M33" s="149">
        <v>1.0</v>
      </c>
      <c r="N33" s="154"/>
      <c r="O33" s="133"/>
      <c r="P33" s="133"/>
      <c r="Q33" s="133"/>
      <c r="R33" s="177"/>
      <c r="T33" s="132"/>
      <c r="U33" s="7"/>
    </row>
    <row r="34">
      <c r="A34" s="8"/>
      <c r="B34" s="129">
        <f t="shared" si="9"/>
        <v>13</v>
      </c>
      <c r="C34" s="156" t="str">
        <f t="shared" si="10"/>
        <v> Benton</v>
      </c>
      <c r="D34" s="153"/>
      <c r="E34" s="150">
        <v>1.0</v>
      </c>
      <c r="F34" s="133"/>
      <c r="G34" s="133"/>
      <c r="H34" s="133"/>
      <c r="I34" s="177"/>
      <c r="K34" s="129">
        <f t="shared" si="11"/>
        <v>13</v>
      </c>
      <c r="L34" s="156" t="str">
        <f t="shared" si="12"/>
        <v> Mishra</v>
      </c>
      <c r="M34" s="149">
        <v>1.0</v>
      </c>
      <c r="N34" s="157"/>
      <c r="O34" s="133"/>
      <c r="P34" s="133"/>
      <c r="Q34" s="133"/>
      <c r="R34" s="177"/>
      <c r="T34" s="132"/>
      <c r="U34" s="7"/>
    </row>
    <row r="35">
      <c r="A35" s="14"/>
      <c r="B35" s="135">
        <f t="shared" si="9"/>
        <v>13</v>
      </c>
      <c r="C35" s="156" t="str">
        <f t="shared" si="10"/>
        <v> Drolet</v>
      </c>
      <c r="D35" s="149">
        <v>1.0</v>
      </c>
      <c r="E35" s="157"/>
      <c r="F35" s="133"/>
      <c r="G35" s="133"/>
      <c r="H35" s="133"/>
      <c r="I35" s="177"/>
      <c r="K35" s="135">
        <f t="shared" si="11"/>
        <v>13</v>
      </c>
      <c r="L35" s="156" t="str">
        <f t="shared" si="12"/>
        <v> Bartlett</v>
      </c>
      <c r="M35" s="149">
        <v>1.0</v>
      </c>
      <c r="N35" s="157"/>
      <c r="O35" s="133"/>
      <c r="P35" s="133"/>
      <c r="Q35" s="133"/>
      <c r="R35" s="177"/>
      <c r="T35" s="132"/>
      <c r="U35" s="7"/>
    </row>
    <row r="36">
      <c r="A36" s="8"/>
      <c r="B36" s="129">
        <f t="shared" si="9"/>
        <v>14</v>
      </c>
      <c r="C36" s="156" t="str">
        <f t="shared" si="10"/>
        <v> Benton</v>
      </c>
      <c r="D36" s="149">
        <v>1.0</v>
      </c>
      <c r="E36" s="157"/>
      <c r="F36" s="133"/>
      <c r="G36" s="133"/>
      <c r="H36" s="133"/>
      <c r="I36" s="177"/>
      <c r="K36" s="129">
        <f t="shared" si="11"/>
        <v>14</v>
      </c>
      <c r="L36" s="156" t="str">
        <f t="shared" si="12"/>
        <v> Mishra</v>
      </c>
      <c r="M36" s="149">
        <v>1.0</v>
      </c>
      <c r="N36" s="157"/>
      <c r="O36" s="133"/>
      <c r="P36" s="151"/>
      <c r="Q36" s="133"/>
      <c r="R36" s="177"/>
      <c r="T36" s="132"/>
      <c r="U36" s="7"/>
    </row>
    <row r="37">
      <c r="A37" s="14"/>
      <c r="B37" s="135">
        <f t="shared" si="9"/>
        <v>14</v>
      </c>
      <c r="C37" s="156" t="str">
        <f t="shared" si="10"/>
        <v> Drolet</v>
      </c>
      <c r="D37" s="149">
        <v>1.0</v>
      </c>
      <c r="E37" s="157"/>
      <c r="F37" s="133"/>
      <c r="G37" s="133"/>
      <c r="H37" s="133"/>
      <c r="I37" s="177"/>
      <c r="K37" s="135">
        <f t="shared" si="11"/>
        <v>14</v>
      </c>
      <c r="L37" s="156" t="str">
        <f t="shared" si="12"/>
        <v> Bartlett</v>
      </c>
      <c r="M37" s="149">
        <v>1.0</v>
      </c>
      <c r="N37" s="157"/>
      <c r="O37" s="133"/>
      <c r="P37" s="151">
        <v>1.0</v>
      </c>
      <c r="Q37" s="133"/>
      <c r="R37" s="177"/>
      <c r="T37" s="132"/>
      <c r="U37" s="7"/>
    </row>
    <row r="38">
      <c r="A38" s="8"/>
      <c r="B38" s="129">
        <f t="shared" si="9"/>
        <v>15</v>
      </c>
      <c r="C38" s="156" t="str">
        <f t="shared" si="10"/>
        <v> Benton</v>
      </c>
      <c r="D38" s="153"/>
      <c r="E38" s="150">
        <v>1.0</v>
      </c>
      <c r="F38" s="133"/>
      <c r="G38" s="133"/>
      <c r="H38" s="133"/>
      <c r="I38" s="177"/>
      <c r="K38" s="129">
        <f t="shared" si="11"/>
        <v>15</v>
      </c>
      <c r="L38" s="156" t="str">
        <f t="shared" si="12"/>
        <v> Mishra</v>
      </c>
      <c r="M38" s="153"/>
      <c r="N38" s="157"/>
      <c r="O38" s="133"/>
      <c r="P38" s="133"/>
      <c r="Q38" s="133"/>
      <c r="R38" s="177"/>
      <c r="T38" s="132"/>
      <c r="U38" s="7"/>
    </row>
    <row r="39">
      <c r="A39" s="14"/>
      <c r="B39" s="135">
        <f t="shared" si="9"/>
        <v>15</v>
      </c>
      <c r="C39" s="156" t="str">
        <f t="shared" si="10"/>
        <v> Drolet</v>
      </c>
      <c r="D39" s="149">
        <v>1.0</v>
      </c>
      <c r="E39" s="157"/>
      <c r="F39" s="133"/>
      <c r="G39" s="133"/>
      <c r="H39" s="133"/>
      <c r="I39" s="177"/>
      <c r="K39" s="135">
        <f t="shared" si="11"/>
        <v>15</v>
      </c>
      <c r="L39" s="156" t="str">
        <f t="shared" si="12"/>
        <v> Bartlett</v>
      </c>
      <c r="M39" s="153"/>
      <c r="N39" s="157"/>
      <c r="O39" s="133"/>
      <c r="P39" s="133"/>
      <c r="Q39" s="133"/>
      <c r="R39" s="177"/>
      <c r="T39" s="132"/>
      <c r="U39" s="7"/>
    </row>
    <row r="40">
      <c r="A40" s="8"/>
      <c r="B40" s="129">
        <f t="shared" si="9"/>
        <v>16</v>
      </c>
      <c r="C40" s="156" t="str">
        <f t="shared" si="10"/>
        <v> Benton</v>
      </c>
      <c r="D40" s="159">
        <v>1.0</v>
      </c>
      <c r="E40" s="160"/>
      <c r="F40" s="133"/>
      <c r="G40" s="151">
        <v>1.0</v>
      </c>
      <c r="H40" s="133"/>
      <c r="I40" s="177"/>
      <c r="K40" s="129">
        <f t="shared" si="11"/>
        <v>16</v>
      </c>
      <c r="L40" s="156" t="str">
        <f t="shared" si="12"/>
        <v> Mishra</v>
      </c>
      <c r="M40" s="153"/>
      <c r="N40" s="157"/>
      <c r="O40" s="133"/>
      <c r="P40" s="133"/>
      <c r="Q40" s="133"/>
      <c r="R40" s="177"/>
      <c r="T40" s="132"/>
      <c r="U40" s="7"/>
    </row>
    <row r="41">
      <c r="A41" s="14"/>
      <c r="B41" s="135">
        <f t="shared" si="9"/>
        <v>16</v>
      </c>
      <c r="C41" s="156" t="str">
        <f t="shared" si="10"/>
        <v> Drolet</v>
      </c>
      <c r="D41" s="159">
        <v>1.0</v>
      </c>
      <c r="E41" s="161"/>
      <c r="F41" s="133"/>
      <c r="G41" s="151">
        <v>1.0</v>
      </c>
      <c r="H41" s="133"/>
      <c r="I41" s="177"/>
      <c r="K41" s="135">
        <f t="shared" si="11"/>
        <v>16</v>
      </c>
      <c r="L41" s="156" t="str">
        <f t="shared" si="12"/>
        <v> Bartlett</v>
      </c>
      <c r="M41" s="158"/>
      <c r="N41" s="154"/>
      <c r="O41" s="133"/>
      <c r="P41" s="133"/>
      <c r="Q41" s="133"/>
      <c r="R41" s="177"/>
      <c r="T41" s="132"/>
      <c r="U41" s="7"/>
    </row>
    <row r="42">
      <c r="A42" s="8"/>
      <c r="B42" s="129">
        <f t="shared" si="9"/>
        <v>17</v>
      </c>
      <c r="C42" s="156" t="str">
        <f t="shared" si="10"/>
        <v> Benton</v>
      </c>
      <c r="D42" s="159"/>
      <c r="E42" s="160">
        <v>1.0</v>
      </c>
      <c r="F42" s="133"/>
      <c r="G42" s="133"/>
      <c r="H42" s="133"/>
      <c r="I42" s="177"/>
      <c r="K42" s="129">
        <f t="shared" si="11"/>
        <v>17</v>
      </c>
      <c r="L42" s="156" t="str">
        <f t="shared" si="12"/>
        <v> Mishra</v>
      </c>
      <c r="M42" s="153"/>
      <c r="N42" s="157"/>
      <c r="O42" s="133"/>
      <c r="P42" s="133"/>
      <c r="Q42" s="133"/>
      <c r="R42" s="177"/>
      <c r="T42" s="132"/>
      <c r="U42" s="7"/>
    </row>
    <row r="43">
      <c r="A43" s="14"/>
      <c r="B43" s="135">
        <f t="shared" si="9"/>
        <v>17</v>
      </c>
      <c r="C43" s="156" t="str">
        <f t="shared" si="10"/>
        <v> Drolet</v>
      </c>
      <c r="D43" s="178"/>
      <c r="E43" s="179"/>
      <c r="F43" s="177"/>
      <c r="G43" s="177"/>
      <c r="H43" s="177"/>
      <c r="I43" s="177"/>
      <c r="K43" s="135">
        <f t="shared" si="11"/>
        <v>17</v>
      </c>
      <c r="L43" s="156" t="str">
        <f t="shared" si="12"/>
        <v> Bartlett</v>
      </c>
      <c r="M43" s="159"/>
      <c r="N43" s="161"/>
      <c r="O43" s="152"/>
      <c r="P43" s="152"/>
      <c r="Q43" s="152"/>
      <c r="T43" s="132"/>
      <c r="U43" s="7"/>
    </row>
    <row r="44">
      <c r="A44" s="8"/>
      <c r="B44" s="129">
        <f t="shared" si="9"/>
        <v>18</v>
      </c>
      <c r="C44" s="156" t="str">
        <f t="shared" si="10"/>
        <v> Benton</v>
      </c>
      <c r="D44" s="180"/>
      <c r="E44" s="181"/>
      <c r="F44" s="177"/>
      <c r="G44" s="177"/>
      <c r="H44" s="177"/>
      <c r="I44" s="177"/>
      <c r="K44" s="129">
        <f t="shared" si="11"/>
        <v>18</v>
      </c>
      <c r="L44" s="156" t="str">
        <f t="shared" si="12"/>
        <v> Mishra</v>
      </c>
      <c r="M44" s="159"/>
      <c r="N44" s="161"/>
      <c r="O44" s="152"/>
      <c r="P44" s="152"/>
      <c r="Q44" s="152"/>
      <c r="T44" s="132"/>
      <c r="U44" s="7"/>
    </row>
    <row r="45">
      <c r="A45" s="8"/>
      <c r="B45" s="129">
        <f t="shared" si="9"/>
        <v>18</v>
      </c>
      <c r="C45" s="156" t="str">
        <f t="shared" si="10"/>
        <v> Drolet</v>
      </c>
      <c r="D45" s="180"/>
      <c r="E45" s="181"/>
      <c r="F45" s="177"/>
      <c r="G45" s="177"/>
      <c r="H45" s="177"/>
      <c r="I45" s="177"/>
      <c r="K45" s="129">
        <f t="shared" si="11"/>
        <v>18</v>
      </c>
      <c r="L45" s="156" t="str">
        <f t="shared" si="12"/>
        <v> Bartlett</v>
      </c>
      <c r="M45" s="180"/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Benton</v>
      </c>
      <c r="D46" s="180"/>
      <c r="E46" s="181"/>
      <c r="F46" s="177"/>
      <c r="G46" s="177"/>
      <c r="H46" s="177"/>
      <c r="I46" s="177"/>
      <c r="K46" s="135">
        <f t="shared" si="11"/>
        <v>19</v>
      </c>
      <c r="L46" s="156" t="str">
        <f t="shared" si="12"/>
        <v> Mishra</v>
      </c>
      <c r="M46" s="180"/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Drolet</v>
      </c>
      <c r="D47" s="180"/>
      <c r="E47" s="181"/>
      <c r="F47" s="177"/>
      <c r="G47" s="177"/>
      <c r="H47" s="177"/>
      <c r="I47" s="177"/>
      <c r="K47" s="129">
        <f t="shared" si="11"/>
        <v>19</v>
      </c>
      <c r="L47" s="156" t="str">
        <f t="shared" si="12"/>
        <v> Bartlett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Benton</v>
      </c>
      <c r="D48" s="180"/>
      <c r="E48" s="181"/>
      <c r="F48" s="177"/>
      <c r="G48" s="177"/>
      <c r="H48" s="177"/>
      <c r="I48" s="177"/>
      <c r="K48" s="135">
        <f t="shared" si="11"/>
        <v>20</v>
      </c>
      <c r="L48" s="156" t="str">
        <f t="shared" si="12"/>
        <v> Mishra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Drolet</v>
      </c>
      <c r="D49" s="178"/>
      <c r="E49" s="179"/>
      <c r="F49" s="177"/>
      <c r="G49" s="177"/>
      <c r="H49" s="177"/>
      <c r="I49" s="177"/>
      <c r="K49" s="129">
        <f t="shared" si="11"/>
        <v>20</v>
      </c>
      <c r="L49" s="156" t="str">
        <f t="shared" si="12"/>
        <v> Bartlett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Benton</v>
      </c>
      <c r="D50" s="180"/>
      <c r="E50" s="181"/>
      <c r="F50" s="177"/>
      <c r="G50" s="177"/>
      <c r="H50" s="177"/>
      <c r="I50" s="177"/>
      <c r="K50" s="129">
        <f t="shared" si="11"/>
        <v>21</v>
      </c>
      <c r="L50" s="156" t="str">
        <f t="shared" si="12"/>
        <v> Mishra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Drolet</v>
      </c>
      <c r="D51" s="180"/>
      <c r="E51" s="181"/>
      <c r="F51" s="177"/>
      <c r="G51" s="177"/>
      <c r="H51" s="177"/>
      <c r="I51" s="177"/>
      <c r="K51" s="135">
        <f t="shared" si="11"/>
        <v>21</v>
      </c>
      <c r="L51" s="156" t="str">
        <f t="shared" si="12"/>
        <v> Bartlett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Benton</v>
      </c>
      <c r="D52" s="178"/>
      <c r="E52" s="181"/>
      <c r="F52" s="177"/>
      <c r="G52" s="177"/>
      <c r="H52" s="177"/>
      <c r="I52" s="177"/>
      <c r="K52" s="129">
        <f t="shared" si="11"/>
        <v>22</v>
      </c>
      <c r="L52" s="156" t="str">
        <f t="shared" si="12"/>
        <v> Mishra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Drolet</v>
      </c>
      <c r="D53" s="178"/>
      <c r="E53" s="181"/>
      <c r="F53" s="177"/>
      <c r="G53" s="177"/>
      <c r="H53" s="177"/>
      <c r="I53" s="177"/>
      <c r="K53" s="135">
        <f t="shared" si="11"/>
        <v>22</v>
      </c>
      <c r="L53" s="156" t="str">
        <f t="shared" si="12"/>
        <v> Bartlett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Benton</v>
      </c>
      <c r="D54" s="178"/>
      <c r="E54" s="181"/>
      <c r="F54" s="177"/>
      <c r="G54" s="177"/>
      <c r="H54" s="177"/>
      <c r="I54" s="177"/>
      <c r="K54" s="129">
        <f t="shared" si="11"/>
        <v>23</v>
      </c>
      <c r="L54" s="156" t="str">
        <f t="shared" si="12"/>
        <v> Mishra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Drolet</v>
      </c>
      <c r="D55" s="178"/>
      <c r="E55" s="181"/>
      <c r="K55" s="135">
        <f t="shared" si="11"/>
        <v>23</v>
      </c>
      <c r="L55" s="156" t="str">
        <f t="shared" si="12"/>
        <v> Bartlett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Benton</v>
      </c>
      <c r="D56" s="178"/>
      <c r="E56" s="181"/>
      <c r="K56" s="129">
        <f t="shared" si="11"/>
        <v>24</v>
      </c>
      <c r="L56" s="156" t="str">
        <f t="shared" si="12"/>
        <v> Mishra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Drolet</v>
      </c>
      <c r="D57" s="178"/>
      <c r="E57" s="181"/>
      <c r="K57" s="129">
        <f t="shared" si="11"/>
        <v>24</v>
      </c>
      <c r="L57" s="156" t="str">
        <f t="shared" si="12"/>
        <v> Bartlett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Benton</v>
      </c>
      <c r="D58" s="178"/>
      <c r="E58" s="181"/>
      <c r="K58" s="135">
        <f t="shared" si="11"/>
        <v>25</v>
      </c>
      <c r="L58" s="156" t="str">
        <f t="shared" si="12"/>
        <v> Mishra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Drolet</v>
      </c>
      <c r="D59" s="178"/>
      <c r="E59" s="181"/>
      <c r="K59" s="129">
        <f t="shared" si="11"/>
        <v>25</v>
      </c>
      <c r="L59" s="156" t="str">
        <f t="shared" si="12"/>
        <v> Bartlett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Benton</v>
      </c>
      <c r="D60" s="178"/>
      <c r="E60" s="181"/>
      <c r="K60" s="135">
        <f t="shared" si="11"/>
        <v>26</v>
      </c>
      <c r="L60" s="156" t="str">
        <f t="shared" si="12"/>
        <v> Mishra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Drolet</v>
      </c>
      <c r="D61" s="178"/>
      <c r="E61" s="181"/>
      <c r="K61" s="129">
        <f t="shared" si="11"/>
        <v>26</v>
      </c>
      <c r="L61" s="156" t="str">
        <f t="shared" si="12"/>
        <v> Bartlett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Benton</v>
      </c>
      <c r="D62" s="178"/>
      <c r="E62" s="181"/>
      <c r="K62" s="135">
        <f t="shared" si="11"/>
        <v>27</v>
      </c>
      <c r="L62" s="156" t="str">
        <f t="shared" si="12"/>
        <v> Mishra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Drolet</v>
      </c>
      <c r="D63" s="178"/>
      <c r="E63" s="181"/>
      <c r="K63" s="129">
        <f t="shared" si="11"/>
        <v>27</v>
      </c>
      <c r="L63" s="156" t="str">
        <f t="shared" si="12"/>
        <v> Bartlett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Benton</v>
      </c>
      <c r="D64" s="178"/>
      <c r="E64" s="181"/>
      <c r="K64" s="135">
        <f t="shared" si="11"/>
        <v>28</v>
      </c>
      <c r="L64" s="156" t="str">
        <f t="shared" si="12"/>
        <v> Mishra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Drolet</v>
      </c>
      <c r="D65" s="178"/>
      <c r="E65" s="181"/>
      <c r="K65" s="129">
        <f t="shared" si="11"/>
        <v>28</v>
      </c>
      <c r="L65" s="156" t="str">
        <f t="shared" si="12"/>
        <v> Bartlett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Benton</v>
      </c>
      <c r="D66" s="178"/>
      <c r="E66" s="181"/>
      <c r="K66" s="135">
        <f t="shared" si="11"/>
        <v>29</v>
      </c>
      <c r="L66" s="156" t="str">
        <f t="shared" si="12"/>
        <v> Mishra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Drolet</v>
      </c>
      <c r="D67" s="178"/>
      <c r="E67" s="181"/>
      <c r="K67" s="135">
        <f t="shared" si="11"/>
        <v>29</v>
      </c>
      <c r="L67" s="156" t="str">
        <f t="shared" si="12"/>
        <v> Bartlett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Benton</v>
      </c>
      <c r="D68" s="178"/>
      <c r="E68" s="181"/>
      <c r="K68" s="135">
        <f t="shared" si="11"/>
        <v>30</v>
      </c>
      <c r="L68" s="156" t="str">
        <f t="shared" si="12"/>
        <v> Mishra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Drolet</v>
      </c>
      <c r="D69" s="178"/>
      <c r="E69" s="181"/>
      <c r="K69" s="135">
        <f t="shared" si="11"/>
        <v>30</v>
      </c>
      <c r="L69" s="156" t="str">
        <f t="shared" si="12"/>
        <v> Bartlett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Benton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Mishra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Drolet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Bartlett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Benton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Mishra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Drolet</v>
      </c>
      <c r="D73" s="178"/>
      <c r="E73" s="181"/>
      <c r="K73" s="129">
        <v>32.0</v>
      </c>
      <c r="L73" s="156" t="str">
        <f t="shared" si="12"/>
        <v> Bartlett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Benton</v>
      </c>
      <c r="D74" s="192"/>
      <c r="E74" s="181"/>
      <c r="K74" s="129">
        <v>33.0</v>
      </c>
      <c r="L74" s="156" t="str">
        <f t="shared" si="12"/>
        <v> Mishra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Drolet</v>
      </c>
      <c r="D75" s="178"/>
      <c r="E75" s="181"/>
      <c r="K75" s="129">
        <v>33.0</v>
      </c>
      <c r="L75" s="156" t="str">
        <f t="shared" si="12"/>
        <v> Bartlett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Benton</v>
      </c>
      <c r="D76" s="178"/>
      <c r="E76" s="181"/>
      <c r="K76" s="129">
        <v>34.0</v>
      </c>
      <c r="L76" s="156" t="str">
        <f t="shared" si="12"/>
        <v> Mishra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Drolet</v>
      </c>
      <c r="D77" s="178"/>
      <c r="E77" s="181"/>
      <c r="K77" s="129">
        <v>34.0</v>
      </c>
      <c r="L77" s="156" t="str">
        <f t="shared" si="12"/>
        <v> Bartlett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Benton</v>
      </c>
      <c r="D78" s="178"/>
      <c r="E78" s="181"/>
      <c r="K78" s="129">
        <v>35.0</v>
      </c>
      <c r="L78" s="156" t="str">
        <f t="shared" si="12"/>
        <v> Mishra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Drolet</v>
      </c>
      <c r="D79" s="178"/>
      <c r="E79" s="181"/>
      <c r="K79" s="129">
        <v>35.0</v>
      </c>
      <c r="L79" s="156" t="str">
        <f t="shared" si="12"/>
        <v> Bartlett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Benton</v>
      </c>
      <c r="D80" s="178"/>
      <c r="E80" s="181"/>
      <c r="K80" s="129">
        <v>36.0</v>
      </c>
      <c r="L80" s="156" t="str">
        <f t="shared" si="12"/>
        <v> Mishra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Drolet</v>
      </c>
      <c r="D81" s="178"/>
      <c r="E81" s="181"/>
      <c r="K81" s="129">
        <v>36.0</v>
      </c>
      <c r="L81" s="156" t="str">
        <f t="shared" si="12"/>
        <v> Bartlett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Benton</v>
      </c>
      <c r="D82" s="178"/>
      <c r="E82" s="181"/>
      <c r="K82" s="129">
        <v>37.0</v>
      </c>
      <c r="L82" s="156" t="str">
        <f t="shared" si="12"/>
        <v> Mishra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Drolet</v>
      </c>
      <c r="D83" s="178"/>
      <c r="E83" s="181"/>
      <c r="K83" s="129">
        <v>37.0</v>
      </c>
      <c r="L83" s="156" t="str">
        <f t="shared" si="12"/>
        <v> Bartlett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Benton</v>
      </c>
      <c r="D84" s="178"/>
      <c r="E84" s="181"/>
      <c r="K84" s="129">
        <v>38.0</v>
      </c>
      <c r="L84" s="156" t="str">
        <f t="shared" si="12"/>
        <v> Mishra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Drolet</v>
      </c>
      <c r="D85" s="178"/>
      <c r="E85" s="181"/>
      <c r="K85" s="129">
        <v>38.0</v>
      </c>
      <c r="L85" s="156" t="str">
        <f t="shared" si="12"/>
        <v> Bartlett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Benton</v>
      </c>
      <c r="D86" s="178"/>
      <c r="E86" s="181"/>
      <c r="K86" s="129">
        <v>39.0</v>
      </c>
      <c r="L86" s="156" t="str">
        <f t="shared" si="12"/>
        <v> Mishra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Drolet</v>
      </c>
      <c r="D87" s="178"/>
      <c r="E87" s="181"/>
      <c r="K87" s="129">
        <v>39.0</v>
      </c>
      <c r="L87" s="156" t="str">
        <f t="shared" si="12"/>
        <v> Bartlett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Benton</v>
      </c>
      <c r="D88" s="178"/>
      <c r="E88" s="181"/>
      <c r="K88" s="129">
        <v>40.0</v>
      </c>
      <c r="L88" s="156" t="str">
        <f t="shared" si="12"/>
        <v> Mishra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Drolet</v>
      </c>
      <c r="D89" s="178"/>
      <c r="E89" s="181"/>
      <c r="K89" s="129">
        <v>40.0</v>
      </c>
      <c r="L89" s="156" t="str">
        <f t="shared" si="12"/>
        <v> Bartlett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107</v>
      </c>
      <c r="D3" s="189">
        <f t="shared" ref="D3:J3" si="1">SUMPRODUCT(D10:D90,MOD(ROW(D10:D90),2)=0)</f>
        <v>20</v>
      </c>
      <c r="E3" s="189">
        <f t="shared" si="1"/>
        <v>6</v>
      </c>
      <c r="F3" s="189">
        <f t="shared" si="1"/>
        <v>0</v>
      </c>
      <c r="G3" s="189">
        <f t="shared" si="1"/>
        <v>0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123</v>
      </c>
      <c r="M3" s="189">
        <f t="shared" ref="M3:S3" si="2">SUMPRODUCT(M10:M90,MOD(ROW(M10:M90),2)=0)</f>
        <v>23</v>
      </c>
      <c r="N3" s="189">
        <f t="shared" si="2"/>
        <v>4</v>
      </c>
      <c r="O3" s="189">
        <f t="shared" si="2"/>
        <v>0</v>
      </c>
      <c r="P3" s="189">
        <f t="shared" si="2"/>
        <v>4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118</v>
      </c>
      <c r="D4" s="191">
        <f t="shared" ref="D4:J4" si="3">SUMPRODUCT(D10:D90,MOD(ROW(D10:D90),2))</f>
        <v>23</v>
      </c>
      <c r="E4" s="191">
        <f t="shared" si="3"/>
        <v>3</v>
      </c>
      <c r="F4" s="191">
        <f t="shared" si="3"/>
        <v>1</v>
      </c>
      <c r="G4" s="191">
        <f t="shared" si="3"/>
        <v>2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111</v>
      </c>
      <c r="M4" s="191">
        <f t="shared" ref="M4:S4" si="4">SUMPRODUCT(M10:M90,MOD(ROW(M10:M90),2))</f>
        <v>21</v>
      </c>
      <c r="N4" s="191">
        <f t="shared" si="4"/>
        <v>6</v>
      </c>
      <c r="O4" s="191">
        <f t="shared" si="4"/>
        <v>0</v>
      </c>
      <c r="P4" s="191">
        <f t="shared" si="4"/>
        <v>2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Martinez %</v>
      </c>
      <c r="D5" s="137">
        <f t="shared" ref="D5:D6" si="6">IFERROR((E3/(E3+D3)),0)</f>
        <v>0.2307692308</v>
      </c>
      <c r="K5" s="135"/>
      <c r="L5" s="136" t="str">
        <f t="shared" ref="L5:L6" si="7">IFERROR((L10 &amp;" %"), "")</f>
        <v> Pugliese %</v>
      </c>
      <c r="M5" s="137">
        <f t="shared" ref="M5:M6" si="8">IFERROR((N3/(N3+M3)),0)</f>
        <v>0.1481481481</v>
      </c>
      <c r="S5" s="132"/>
      <c r="T5" s="132"/>
      <c r="U5" s="7"/>
    </row>
    <row r="6">
      <c r="A6" s="14"/>
      <c r="B6" s="138"/>
      <c r="C6" s="139" t="str">
        <f t="shared" si="5"/>
        <v> Grissinger %</v>
      </c>
      <c r="D6" s="140">
        <f t="shared" si="6"/>
        <v>0.1153846154</v>
      </c>
      <c r="E6" s="141"/>
      <c r="F6" s="141"/>
      <c r="G6" s="141"/>
      <c r="H6" s="141"/>
      <c r="I6" s="141"/>
      <c r="J6" s="141"/>
      <c r="K6" s="138"/>
      <c r="L6" s="139" t="str">
        <f t="shared" si="7"/>
        <v> Katz %</v>
      </c>
      <c r="M6" s="142">
        <f t="shared" si="8"/>
        <v>0.2222222222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Martinez")</f>
        <v> Martinez</v>
      </c>
      <c r="D10" s="197"/>
      <c r="E10" s="198">
        <v>1.0</v>
      </c>
      <c r="F10" s="199"/>
      <c r="G10" s="199"/>
      <c r="H10" s="177"/>
      <c r="I10" s="177"/>
      <c r="K10" s="129">
        <v>1.0</v>
      </c>
      <c r="L10" s="136" t="str">
        <f>IFERROR(__xludf.DUMMYFUNCTION("REGEXEXTRACT(L3, ""( .*)+"")")," Pugliese")</f>
        <v> Pugliese</v>
      </c>
      <c r="M10" s="200">
        <v>1.0</v>
      </c>
      <c r="N10" s="201"/>
      <c r="O10" s="177"/>
      <c r="P10" s="199"/>
      <c r="Q10" s="177"/>
      <c r="R10" s="177"/>
      <c r="T10" s="132"/>
      <c r="U10" s="7"/>
    </row>
    <row r="11">
      <c r="A11" s="8"/>
      <c r="B11" s="129">
        <v>1.0</v>
      </c>
      <c r="C11" s="136" t="str">
        <f>IFERROR(__xludf.DUMMYFUNCTION("REGEXEXTRACT(C4, ""( .*)+"")")," Grissinger")</f>
        <v> Grissinger</v>
      </c>
      <c r="D11" s="202">
        <v>1.0</v>
      </c>
      <c r="E11" s="203"/>
      <c r="F11" s="177"/>
      <c r="G11" s="177"/>
      <c r="H11" s="177"/>
      <c r="I11" s="177"/>
      <c r="K11" s="129">
        <v>1.0</v>
      </c>
      <c r="L11" s="136" t="str">
        <f>IFERROR(__xludf.DUMMYFUNCTION("REGEXEXTRACT(L4, ""( .*)+"")")," Katz")</f>
        <v> Katz</v>
      </c>
      <c r="M11" s="202">
        <v>1.0</v>
      </c>
      <c r="N11" s="203"/>
      <c r="O11" s="177"/>
      <c r="P11" s="177"/>
      <c r="Q11" s="177"/>
      <c r="R11" s="177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Martinez</v>
      </c>
      <c r="D12" s="202">
        <v>1.0</v>
      </c>
      <c r="E12" s="203"/>
      <c r="F12" s="177"/>
      <c r="G12" s="177"/>
      <c r="H12" s="177"/>
      <c r="I12" s="177"/>
      <c r="K12" s="129">
        <f t="shared" ref="K12:K69" si="11">K10+1</f>
        <v>2</v>
      </c>
      <c r="L12" s="156" t="str">
        <f t="shared" ref="L12:L89" si="12">L10</f>
        <v> Pugliese</v>
      </c>
      <c r="M12" s="200">
        <v>1.0</v>
      </c>
      <c r="N12" s="201"/>
      <c r="O12" s="177"/>
      <c r="P12" s="177"/>
      <c r="Q12" s="177"/>
      <c r="R12" s="177"/>
      <c r="T12" s="132"/>
      <c r="U12" s="7"/>
    </row>
    <row r="13">
      <c r="A13" s="14"/>
      <c r="B13" s="135">
        <f t="shared" si="9"/>
        <v>2</v>
      </c>
      <c r="C13" s="156" t="str">
        <f t="shared" si="10"/>
        <v> Grissinger</v>
      </c>
      <c r="D13" s="204">
        <v>1.0</v>
      </c>
      <c r="E13" s="201"/>
      <c r="F13" s="177"/>
      <c r="G13" s="191"/>
      <c r="H13" s="177"/>
      <c r="I13" s="177"/>
      <c r="K13" s="135">
        <f t="shared" si="11"/>
        <v>2</v>
      </c>
      <c r="L13" s="156" t="str">
        <f t="shared" si="12"/>
        <v> Katz</v>
      </c>
      <c r="M13" s="202">
        <v>1.0</v>
      </c>
      <c r="N13" s="188"/>
      <c r="O13" s="177"/>
      <c r="P13" s="177"/>
      <c r="Q13" s="177"/>
      <c r="R13" s="177"/>
      <c r="T13" s="132"/>
      <c r="U13" s="7"/>
    </row>
    <row r="14">
      <c r="A14" s="8"/>
      <c r="B14" s="129">
        <f t="shared" si="9"/>
        <v>3</v>
      </c>
      <c r="C14" s="156" t="str">
        <f t="shared" si="10"/>
        <v> Martinez</v>
      </c>
      <c r="D14" s="202">
        <v>1.0</v>
      </c>
      <c r="E14" s="203"/>
      <c r="F14" s="177"/>
      <c r="G14" s="177"/>
      <c r="H14" s="177"/>
      <c r="I14" s="177"/>
      <c r="K14" s="129">
        <f t="shared" si="11"/>
        <v>3</v>
      </c>
      <c r="L14" s="156" t="str">
        <f t="shared" si="12"/>
        <v> Pugliese</v>
      </c>
      <c r="M14" s="202">
        <v>1.0</v>
      </c>
      <c r="N14" s="188"/>
      <c r="O14" s="177"/>
      <c r="P14" s="177"/>
      <c r="Q14" s="177"/>
      <c r="R14" s="177"/>
      <c r="T14" s="132"/>
      <c r="U14" s="7"/>
    </row>
    <row r="15">
      <c r="A15" s="14"/>
      <c r="B15" s="135">
        <f t="shared" si="9"/>
        <v>3</v>
      </c>
      <c r="C15" s="156" t="str">
        <f t="shared" si="10"/>
        <v> Grissinger</v>
      </c>
      <c r="D15" s="200">
        <v>1.0</v>
      </c>
      <c r="E15" s="201"/>
      <c r="F15" s="177"/>
      <c r="G15" s="177"/>
      <c r="H15" s="177"/>
      <c r="I15" s="177"/>
      <c r="K15" s="135">
        <f t="shared" si="11"/>
        <v>3</v>
      </c>
      <c r="L15" s="156" t="str">
        <f t="shared" si="12"/>
        <v> Katz</v>
      </c>
      <c r="M15" s="197"/>
      <c r="N15" s="198">
        <v>1.0</v>
      </c>
      <c r="O15" s="177"/>
      <c r="P15" s="177"/>
      <c r="Q15" s="177"/>
      <c r="R15" s="177"/>
      <c r="T15" s="132"/>
      <c r="U15" s="7"/>
    </row>
    <row r="16">
      <c r="A16" s="8"/>
      <c r="B16" s="129">
        <f t="shared" si="9"/>
        <v>4</v>
      </c>
      <c r="C16" s="156" t="str">
        <f t="shared" si="10"/>
        <v> Martinez</v>
      </c>
      <c r="D16" s="200">
        <v>1.0</v>
      </c>
      <c r="E16" s="205"/>
      <c r="F16" s="177"/>
      <c r="G16" s="177"/>
      <c r="H16" s="177"/>
      <c r="I16" s="177"/>
      <c r="K16" s="129">
        <f t="shared" si="11"/>
        <v>4</v>
      </c>
      <c r="L16" s="156" t="str">
        <f t="shared" si="12"/>
        <v> Pugliese</v>
      </c>
      <c r="M16" s="197"/>
      <c r="N16" s="198">
        <v>1.0</v>
      </c>
      <c r="O16" s="177"/>
      <c r="P16" s="177"/>
      <c r="Q16" s="177"/>
      <c r="R16" s="177"/>
      <c r="T16" s="132"/>
      <c r="U16" s="7"/>
    </row>
    <row r="17">
      <c r="A17" s="14"/>
      <c r="B17" s="135">
        <f t="shared" si="9"/>
        <v>4</v>
      </c>
      <c r="C17" s="156" t="str">
        <f t="shared" si="10"/>
        <v> Grissinger</v>
      </c>
      <c r="D17" s="200">
        <v>1.0</v>
      </c>
      <c r="E17" s="201"/>
      <c r="F17" s="177"/>
      <c r="G17" s="177"/>
      <c r="H17" s="177"/>
      <c r="I17" s="177"/>
      <c r="K17" s="135">
        <f t="shared" si="11"/>
        <v>4</v>
      </c>
      <c r="L17" s="156" t="str">
        <f t="shared" si="12"/>
        <v> Katz</v>
      </c>
      <c r="M17" s="206"/>
      <c r="N17" s="207">
        <v>1.0</v>
      </c>
      <c r="O17" s="177"/>
      <c r="P17" s="177"/>
      <c r="Q17" s="177"/>
      <c r="R17" s="177"/>
      <c r="T17" s="132"/>
      <c r="U17" s="7"/>
    </row>
    <row r="18">
      <c r="A18" s="8"/>
      <c r="B18" s="129">
        <f t="shared" si="9"/>
        <v>5</v>
      </c>
      <c r="C18" s="156" t="str">
        <f t="shared" si="10"/>
        <v> Martinez</v>
      </c>
      <c r="D18" s="197"/>
      <c r="E18" s="198">
        <v>1.0</v>
      </c>
      <c r="F18" s="177"/>
      <c r="G18" s="191"/>
      <c r="H18" s="177"/>
      <c r="I18" s="177"/>
      <c r="K18" s="129">
        <f t="shared" si="11"/>
        <v>5</v>
      </c>
      <c r="L18" s="156" t="str">
        <f t="shared" si="12"/>
        <v> Pugliese</v>
      </c>
      <c r="M18" s="197"/>
      <c r="N18" s="198">
        <v>1.0</v>
      </c>
      <c r="O18" s="177"/>
      <c r="P18" s="177"/>
      <c r="Q18" s="177"/>
      <c r="R18" s="177"/>
      <c r="T18" s="132"/>
      <c r="U18" s="7"/>
    </row>
    <row r="19">
      <c r="A19" s="14"/>
      <c r="B19" s="135">
        <f t="shared" si="9"/>
        <v>5</v>
      </c>
      <c r="C19" s="156" t="str">
        <f t="shared" si="10"/>
        <v> Grissinger</v>
      </c>
      <c r="D19" s="200">
        <v>1.0</v>
      </c>
      <c r="E19" s="205"/>
      <c r="F19" s="177"/>
      <c r="G19" s="177"/>
      <c r="H19" s="177"/>
      <c r="I19" s="177"/>
      <c r="K19" s="135">
        <f t="shared" si="11"/>
        <v>5</v>
      </c>
      <c r="L19" s="156" t="str">
        <f t="shared" si="12"/>
        <v> Katz</v>
      </c>
      <c r="M19" s="202">
        <v>1.0</v>
      </c>
      <c r="N19" s="203"/>
      <c r="O19" s="177"/>
      <c r="P19" s="177"/>
      <c r="Q19" s="177"/>
      <c r="R19" s="177"/>
      <c r="T19" s="132"/>
      <c r="U19" s="7"/>
    </row>
    <row r="20">
      <c r="A20" s="8"/>
      <c r="B20" s="129">
        <f t="shared" si="9"/>
        <v>6</v>
      </c>
      <c r="C20" s="156" t="str">
        <f t="shared" si="10"/>
        <v> Martinez</v>
      </c>
      <c r="D20" s="200">
        <v>1.0</v>
      </c>
      <c r="E20" s="201"/>
      <c r="F20" s="177"/>
      <c r="G20" s="177"/>
      <c r="H20" s="177"/>
      <c r="I20" s="177"/>
      <c r="K20" s="129">
        <f t="shared" si="11"/>
        <v>6</v>
      </c>
      <c r="L20" s="156" t="str">
        <f t="shared" si="12"/>
        <v> Pugliese</v>
      </c>
      <c r="M20" s="200">
        <v>1.0</v>
      </c>
      <c r="N20" s="205"/>
      <c r="O20" s="177"/>
      <c r="P20" s="177"/>
      <c r="Q20" s="177"/>
      <c r="R20" s="177"/>
      <c r="T20" s="132"/>
      <c r="U20" s="7"/>
    </row>
    <row r="21">
      <c r="A21" s="14"/>
      <c r="B21" s="135">
        <f t="shared" si="9"/>
        <v>6</v>
      </c>
      <c r="C21" s="156" t="str">
        <f t="shared" si="10"/>
        <v> Grissinger</v>
      </c>
      <c r="D21" s="200">
        <v>1.0</v>
      </c>
      <c r="E21" s="205"/>
      <c r="F21" s="177"/>
      <c r="G21" s="177"/>
      <c r="H21" s="177"/>
      <c r="I21" s="177"/>
      <c r="K21" s="135">
        <f t="shared" si="11"/>
        <v>6</v>
      </c>
      <c r="L21" s="156" t="str">
        <f t="shared" si="12"/>
        <v> Katz</v>
      </c>
      <c r="M21" s="200">
        <v>1.0</v>
      </c>
      <c r="N21" s="205"/>
      <c r="O21" s="177"/>
      <c r="P21" s="177"/>
      <c r="Q21" s="177"/>
      <c r="R21" s="177"/>
      <c r="T21" s="132"/>
      <c r="U21" s="7"/>
    </row>
    <row r="22">
      <c r="A22" s="8"/>
      <c r="B22" s="129">
        <f t="shared" si="9"/>
        <v>7</v>
      </c>
      <c r="C22" s="156" t="str">
        <f t="shared" si="10"/>
        <v> Martinez</v>
      </c>
      <c r="D22" s="202">
        <v>1.0</v>
      </c>
      <c r="E22" s="188"/>
      <c r="F22" s="177"/>
      <c r="G22" s="177"/>
      <c r="H22" s="177"/>
      <c r="I22" s="177"/>
      <c r="K22" s="129">
        <f t="shared" si="11"/>
        <v>7</v>
      </c>
      <c r="L22" s="156" t="str">
        <f t="shared" si="12"/>
        <v> Pugliese</v>
      </c>
      <c r="M22" s="200">
        <v>1.0</v>
      </c>
      <c r="N22" s="205"/>
      <c r="O22" s="177"/>
      <c r="P22" s="177"/>
      <c r="Q22" s="177"/>
      <c r="R22" s="177"/>
      <c r="T22" s="132"/>
      <c r="U22" s="7"/>
    </row>
    <row r="23">
      <c r="A23" s="14"/>
      <c r="B23" s="135">
        <f t="shared" si="9"/>
        <v>7</v>
      </c>
      <c r="C23" s="156" t="str">
        <f t="shared" si="10"/>
        <v> Grissinger</v>
      </c>
      <c r="D23" s="200">
        <v>1.0</v>
      </c>
      <c r="E23" s="205"/>
      <c r="F23" s="177"/>
      <c r="G23" s="177"/>
      <c r="H23" s="177"/>
      <c r="I23" s="177"/>
      <c r="K23" s="135">
        <f t="shared" si="11"/>
        <v>7</v>
      </c>
      <c r="L23" s="156" t="str">
        <f t="shared" si="12"/>
        <v> Katz</v>
      </c>
      <c r="M23" s="197"/>
      <c r="N23" s="198">
        <v>1.0</v>
      </c>
      <c r="O23" s="177"/>
      <c r="P23" s="177"/>
      <c r="Q23" s="177"/>
      <c r="R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 Martinez</v>
      </c>
      <c r="D24" s="200">
        <v>1.0</v>
      </c>
      <c r="E24" s="205"/>
      <c r="F24" s="177"/>
      <c r="G24" s="177"/>
      <c r="H24" s="177"/>
      <c r="I24" s="177"/>
      <c r="K24" s="129">
        <f t="shared" si="11"/>
        <v>8</v>
      </c>
      <c r="L24" s="156" t="str">
        <f t="shared" si="12"/>
        <v> Pugliese</v>
      </c>
      <c r="M24" s="202">
        <v>1.0</v>
      </c>
      <c r="N24" s="188"/>
      <c r="O24" s="177"/>
      <c r="P24" s="177"/>
      <c r="Q24" s="177"/>
      <c r="R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 Grissinger</v>
      </c>
      <c r="D25" s="202">
        <v>1.0</v>
      </c>
      <c r="E25" s="188"/>
      <c r="F25" s="177"/>
      <c r="G25" s="177"/>
      <c r="H25" s="177"/>
      <c r="I25" s="177"/>
      <c r="K25" s="135">
        <f t="shared" si="11"/>
        <v>8</v>
      </c>
      <c r="L25" s="156" t="str">
        <f t="shared" si="12"/>
        <v> Katz</v>
      </c>
      <c r="M25" s="202">
        <v>1.0</v>
      </c>
      <c r="N25" s="203"/>
      <c r="O25" s="177"/>
      <c r="P25" s="177"/>
      <c r="Q25" s="177"/>
      <c r="R25" s="177"/>
      <c r="T25" s="132"/>
      <c r="U25" s="7"/>
    </row>
    <row r="26">
      <c r="A26" s="8"/>
      <c r="B26" s="129">
        <f t="shared" si="9"/>
        <v>9</v>
      </c>
      <c r="C26" s="156" t="str">
        <f t="shared" si="10"/>
        <v> Martinez</v>
      </c>
      <c r="D26" s="202">
        <v>1.0</v>
      </c>
      <c r="E26" s="188"/>
      <c r="F26" s="177"/>
      <c r="G26" s="177"/>
      <c r="H26" s="177"/>
      <c r="I26" s="177"/>
      <c r="K26" s="129">
        <f t="shared" si="11"/>
        <v>9</v>
      </c>
      <c r="L26" s="156" t="str">
        <f t="shared" si="12"/>
        <v> Pugliese</v>
      </c>
      <c r="M26" s="200">
        <v>1.0</v>
      </c>
      <c r="N26" s="205"/>
      <c r="O26" s="177"/>
      <c r="P26" s="127">
        <v>1.0</v>
      </c>
      <c r="Q26" s="177"/>
      <c r="R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 Grissinger</v>
      </c>
      <c r="D27" s="202">
        <v>1.0</v>
      </c>
      <c r="E27" s="188"/>
      <c r="F27" s="127">
        <v>1.0</v>
      </c>
      <c r="G27" s="177"/>
      <c r="H27" s="177"/>
      <c r="I27" s="177"/>
      <c r="K27" s="135">
        <f t="shared" si="11"/>
        <v>9</v>
      </c>
      <c r="L27" s="156" t="str">
        <f t="shared" si="12"/>
        <v> Katz</v>
      </c>
      <c r="M27" s="200">
        <v>1.0</v>
      </c>
      <c r="N27" s="205"/>
      <c r="O27" s="177"/>
      <c r="P27" s="177"/>
      <c r="Q27" s="177"/>
      <c r="R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 Martinez</v>
      </c>
      <c r="D28" s="197"/>
      <c r="E28" s="198">
        <v>1.0</v>
      </c>
      <c r="F28" s="177"/>
      <c r="G28" s="191"/>
      <c r="H28" s="177"/>
      <c r="I28" s="177"/>
      <c r="K28" s="129">
        <f t="shared" si="11"/>
        <v>10</v>
      </c>
      <c r="L28" s="156" t="str">
        <f t="shared" si="12"/>
        <v> Pugliese</v>
      </c>
      <c r="M28" s="200">
        <v>1.0</v>
      </c>
      <c r="N28" s="205"/>
      <c r="O28" s="177"/>
      <c r="P28" s="177"/>
      <c r="Q28" s="177"/>
      <c r="R28" s="177"/>
      <c r="T28" s="132"/>
      <c r="U28" s="7"/>
    </row>
    <row r="29">
      <c r="A29" s="14"/>
      <c r="B29" s="135">
        <f t="shared" si="9"/>
        <v>10</v>
      </c>
      <c r="C29" s="156" t="str">
        <f t="shared" si="10"/>
        <v> Grissinger</v>
      </c>
      <c r="D29" s="200">
        <v>1.0</v>
      </c>
      <c r="E29" s="205"/>
      <c r="F29" s="177"/>
      <c r="G29" s="177"/>
      <c r="H29" s="177"/>
      <c r="I29" s="177"/>
      <c r="K29" s="135">
        <f t="shared" si="11"/>
        <v>10</v>
      </c>
      <c r="L29" s="156" t="str">
        <f t="shared" si="12"/>
        <v> Katz</v>
      </c>
      <c r="M29" s="200"/>
      <c r="N29" s="198">
        <v>1.0</v>
      </c>
      <c r="O29" s="177"/>
      <c r="P29" s="177"/>
      <c r="Q29" s="177"/>
      <c r="R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 Martinez</v>
      </c>
      <c r="D30" s="197"/>
      <c r="E30" s="198">
        <v>1.0</v>
      </c>
      <c r="F30" s="177"/>
      <c r="G30" s="177"/>
      <c r="H30" s="177"/>
      <c r="I30" s="177"/>
      <c r="K30" s="129">
        <f t="shared" si="11"/>
        <v>11</v>
      </c>
      <c r="L30" s="156" t="str">
        <f t="shared" si="12"/>
        <v> Pugliese</v>
      </c>
      <c r="M30" s="200">
        <v>1.0</v>
      </c>
      <c r="N30" s="205"/>
      <c r="O30" s="177"/>
      <c r="P30" s="177"/>
      <c r="Q30" s="177"/>
      <c r="R30" s="177"/>
      <c r="T30" s="132"/>
      <c r="U30" s="7"/>
    </row>
    <row r="31">
      <c r="A31" s="14"/>
      <c r="B31" s="135">
        <f t="shared" si="9"/>
        <v>11</v>
      </c>
      <c r="C31" s="156" t="str">
        <f t="shared" si="10"/>
        <v> Grissinger</v>
      </c>
      <c r="D31" s="200">
        <v>1.0</v>
      </c>
      <c r="E31" s="205"/>
      <c r="F31" s="177"/>
      <c r="G31" s="177"/>
      <c r="H31" s="177"/>
      <c r="I31" s="177"/>
      <c r="K31" s="135">
        <f t="shared" si="11"/>
        <v>11</v>
      </c>
      <c r="L31" s="156" t="str">
        <f t="shared" si="12"/>
        <v> Katz</v>
      </c>
      <c r="M31" s="202">
        <v>1.0</v>
      </c>
      <c r="N31" s="203"/>
      <c r="O31" s="177"/>
      <c r="P31" s="177"/>
      <c r="Q31" s="177"/>
      <c r="R31" s="177"/>
      <c r="T31" s="132"/>
      <c r="U31" s="7"/>
    </row>
    <row r="32">
      <c r="A32" s="8"/>
      <c r="B32" s="129">
        <f t="shared" si="9"/>
        <v>12</v>
      </c>
      <c r="C32" s="156" t="str">
        <f t="shared" si="10"/>
        <v> Martinez</v>
      </c>
      <c r="D32" s="200">
        <v>1.0</v>
      </c>
      <c r="E32" s="205"/>
      <c r="F32" s="177"/>
      <c r="G32" s="177"/>
      <c r="H32" s="177"/>
      <c r="I32" s="177"/>
      <c r="K32" s="129">
        <f t="shared" si="11"/>
        <v>12</v>
      </c>
      <c r="L32" s="156" t="str">
        <f t="shared" si="12"/>
        <v> Pugliese</v>
      </c>
      <c r="M32" s="200">
        <v>1.0</v>
      </c>
      <c r="N32" s="205"/>
      <c r="O32" s="177"/>
      <c r="P32" s="177"/>
      <c r="Q32" s="177"/>
      <c r="R32" s="177"/>
      <c r="T32" s="132"/>
      <c r="U32" s="7"/>
    </row>
    <row r="33">
      <c r="A33" s="14"/>
      <c r="B33" s="135">
        <f t="shared" si="9"/>
        <v>12</v>
      </c>
      <c r="C33" s="156" t="str">
        <f t="shared" si="10"/>
        <v> Grissinger</v>
      </c>
      <c r="D33" s="200"/>
      <c r="E33" s="198">
        <v>1.0</v>
      </c>
      <c r="F33" s="177"/>
      <c r="G33" s="177"/>
      <c r="H33" s="177"/>
      <c r="I33" s="177"/>
      <c r="K33" s="135">
        <f t="shared" si="11"/>
        <v>12</v>
      </c>
      <c r="L33" s="156" t="str">
        <f t="shared" si="12"/>
        <v> Katz</v>
      </c>
      <c r="M33" s="200">
        <v>1.0</v>
      </c>
      <c r="N33" s="201"/>
      <c r="O33" s="177"/>
      <c r="P33" s="177"/>
      <c r="Q33" s="177"/>
      <c r="R33" s="177"/>
      <c r="T33" s="132"/>
      <c r="U33" s="7"/>
    </row>
    <row r="34">
      <c r="A34" s="8"/>
      <c r="B34" s="129">
        <f t="shared" si="9"/>
        <v>13</v>
      </c>
      <c r="C34" s="156" t="str">
        <f t="shared" si="10"/>
        <v> Martinez</v>
      </c>
      <c r="D34" s="200">
        <v>1.0</v>
      </c>
      <c r="E34" s="205"/>
      <c r="F34" s="177"/>
      <c r="G34" s="177"/>
      <c r="H34" s="177"/>
      <c r="I34" s="177"/>
      <c r="K34" s="129">
        <f t="shared" si="11"/>
        <v>13</v>
      </c>
      <c r="L34" s="156" t="str">
        <f t="shared" si="12"/>
        <v> Pugliese</v>
      </c>
      <c r="M34" s="208"/>
      <c r="N34" s="207">
        <v>1.0</v>
      </c>
      <c r="O34" s="177"/>
      <c r="P34" s="177"/>
      <c r="Q34" s="177"/>
      <c r="R34" s="177"/>
      <c r="T34" s="132"/>
      <c r="U34" s="7"/>
    </row>
    <row r="35">
      <c r="A35" s="14"/>
      <c r="B35" s="135">
        <f t="shared" si="9"/>
        <v>13</v>
      </c>
      <c r="C35" s="156" t="str">
        <f t="shared" si="10"/>
        <v> Grissinger</v>
      </c>
      <c r="D35" s="202">
        <v>1.0</v>
      </c>
      <c r="E35" s="188"/>
      <c r="F35" s="177"/>
      <c r="G35" s="177"/>
      <c r="H35" s="177"/>
      <c r="I35" s="177"/>
      <c r="K35" s="135">
        <f t="shared" si="11"/>
        <v>13</v>
      </c>
      <c r="L35" s="156" t="str">
        <f t="shared" si="12"/>
        <v> Katz</v>
      </c>
      <c r="M35" s="200">
        <v>1.0</v>
      </c>
      <c r="N35" s="205"/>
      <c r="O35" s="177"/>
      <c r="P35" s="177"/>
      <c r="Q35" s="177"/>
      <c r="R35" s="177"/>
      <c r="T35" s="132"/>
      <c r="U35" s="7"/>
    </row>
    <row r="36">
      <c r="A36" s="8"/>
      <c r="B36" s="129">
        <f t="shared" si="9"/>
        <v>14</v>
      </c>
      <c r="C36" s="156" t="str">
        <f t="shared" si="10"/>
        <v> Martinez</v>
      </c>
      <c r="D36" s="202">
        <v>1.0</v>
      </c>
      <c r="E36" s="205"/>
      <c r="F36" s="177"/>
      <c r="G36" s="177"/>
      <c r="H36" s="177"/>
      <c r="I36" s="177"/>
      <c r="K36" s="129">
        <f t="shared" si="11"/>
        <v>14</v>
      </c>
      <c r="L36" s="156" t="str">
        <f t="shared" si="12"/>
        <v> Pugliese</v>
      </c>
      <c r="M36" s="202">
        <v>1.0</v>
      </c>
      <c r="N36" s="205"/>
      <c r="O36" s="177"/>
      <c r="P36" s="177"/>
      <c r="Q36" s="177"/>
      <c r="R36" s="177"/>
      <c r="T36" s="132"/>
      <c r="U36" s="7"/>
    </row>
    <row r="37">
      <c r="A37" s="14"/>
      <c r="B37" s="135">
        <f t="shared" si="9"/>
        <v>14</v>
      </c>
      <c r="C37" s="156" t="str">
        <f t="shared" si="10"/>
        <v> Grissinger</v>
      </c>
      <c r="D37" s="202"/>
      <c r="E37" s="207">
        <v>1.0</v>
      </c>
      <c r="F37" s="177"/>
      <c r="G37" s="177"/>
      <c r="H37" s="177"/>
      <c r="I37" s="177"/>
      <c r="K37" s="135">
        <f t="shared" si="11"/>
        <v>14</v>
      </c>
      <c r="L37" s="156" t="str">
        <f t="shared" si="12"/>
        <v> Katz</v>
      </c>
      <c r="M37" s="202">
        <v>1.0</v>
      </c>
      <c r="N37" s="188"/>
      <c r="O37" s="177"/>
      <c r="P37" s="177"/>
      <c r="Q37" s="177"/>
      <c r="R37" s="177"/>
      <c r="T37" s="132"/>
      <c r="U37" s="7"/>
    </row>
    <row r="38">
      <c r="A38" s="8"/>
      <c r="B38" s="129">
        <f t="shared" si="9"/>
        <v>15</v>
      </c>
      <c r="C38" s="156" t="str">
        <f t="shared" si="10"/>
        <v> Martinez</v>
      </c>
      <c r="D38" s="202">
        <v>1.0</v>
      </c>
      <c r="E38" s="205"/>
      <c r="F38" s="177"/>
      <c r="G38" s="177"/>
      <c r="H38" s="177"/>
      <c r="I38" s="177"/>
      <c r="K38" s="129">
        <f t="shared" si="11"/>
        <v>15</v>
      </c>
      <c r="L38" s="156" t="str">
        <f t="shared" si="12"/>
        <v> Pugliese</v>
      </c>
      <c r="M38" s="208"/>
      <c r="N38" s="198">
        <v>1.0</v>
      </c>
      <c r="O38" s="177"/>
      <c r="P38" s="177"/>
      <c r="Q38" s="177"/>
      <c r="R38" s="177"/>
      <c r="T38" s="132"/>
      <c r="U38" s="7"/>
    </row>
    <row r="39">
      <c r="A39" s="14"/>
      <c r="B39" s="135">
        <f t="shared" si="9"/>
        <v>15</v>
      </c>
      <c r="C39" s="156" t="str">
        <f t="shared" si="10"/>
        <v> Grissinger</v>
      </c>
      <c r="D39" s="200">
        <v>1.0</v>
      </c>
      <c r="E39" s="205"/>
      <c r="F39" s="177"/>
      <c r="G39" s="177"/>
      <c r="H39" s="177"/>
      <c r="I39" s="177"/>
      <c r="K39" s="135">
        <f t="shared" si="11"/>
        <v>15</v>
      </c>
      <c r="L39" s="156" t="str">
        <f t="shared" si="12"/>
        <v> Katz</v>
      </c>
      <c r="M39" s="208"/>
      <c r="N39" s="198">
        <v>1.0</v>
      </c>
      <c r="O39" s="177"/>
      <c r="P39" s="177"/>
      <c r="Q39" s="177"/>
      <c r="R39" s="177"/>
      <c r="T39" s="132"/>
      <c r="U39" s="7"/>
    </row>
    <row r="40">
      <c r="A40" s="8"/>
      <c r="B40" s="129">
        <f t="shared" si="9"/>
        <v>16</v>
      </c>
      <c r="C40" s="156" t="str">
        <f t="shared" si="10"/>
        <v> Martinez</v>
      </c>
      <c r="D40" s="180"/>
      <c r="E40" s="179">
        <v>1.0</v>
      </c>
      <c r="F40" s="177"/>
      <c r="G40" s="177"/>
      <c r="H40" s="177"/>
      <c r="I40" s="177"/>
      <c r="K40" s="129">
        <f t="shared" si="11"/>
        <v>16</v>
      </c>
      <c r="L40" s="156" t="str">
        <f t="shared" si="12"/>
        <v> Pugliese</v>
      </c>
      <c r="M40" s="202">
        <v>1.0</v>
      </c>
      <c r="N40" s="205"/>
      <c r="O40" s="177"/>
      <c r="P40" s="127">
        <v>1.0</v>
      </c>
      <c r="Q40" s="177"/>
      <c r="R40" s="177"/>
      <c r="T40" s="132"/>
      <c r="U40" s="7"/>
    </row>
    <row r="41">
      <c r="A41" s="14"/>
      <c r="B41" s="135">
        <f t="shared" si="9"/>
        <v>16</v>
      </c>
      <c r="C41" s="156" t="str">
        <f t="shared" si="10"/>
        <v> Grissinger</v>
      </c>
      <c r="D41" s="180"/>
      <c r="E41" s="179">
        <v>1.0</v>
      </c>
      <c r="F41" s="177"/>
      <c r="G41" s="177"/>
      <c r="H41" s="177"/>
      <c r="I41" s="177"/>
      <c r="K41" s="135">
        <f t="shared" si="11"/>
        <v>16</v>
      </c>
      <c r="L41" s="156" t="str">
        <f t="shared" si="12"/>
        <v> Katz</v>
      </c>
      <c r="M41" s="202">
        <v>1.0</v>
      </c>
      <c r="N41" s="201"/>
      <c r="O41" s="177"/>
      <c r="P41" s="127"/>
      <c r="Q41" s="177"/>
      <c r="R41" s="177"/>
      <c r="T41" s="132"/>
      <c r="U41" s="7"/>
    </row>
    <row r="42">
      <c r="A42" s="8"/>
      <c r="B42" s="129">
        <f t="shared" si="9"/>
        <v>17</v>
      </c>
      <c r="C42" s="156" t="str">
        <f t="shared" si="10"/>
        <v> Martinez</v>
      </c>
      <c r="D42" s="180">
        <v>1.0</v>
      </c>
      <c r="E42" s="181"/>
      <c r="F42" s="177"/>
      <c r="G42" s="177"/>
      <c r="H42" s="177"/>
      <c r="I42" s="177"/>
      <c r="K42" s="129">
        <f t="shared" si="11"/>
        <v>17</v>
      </c>
      <c r="L42" s="156" t="str">
        <f t="shared" si="12"/>
        <v> Pugliese</v>
      </c>
      <c r="M42" s="202">
        <v>1.0</v>
      </c>
      <c r="N42" s="205"/>
      <c r="O42" s="177"/>
      <c r="P42" s="177"/>
      <c r="Q42" s="177"/>
      <c r="R42" s="177"/>
      <c r="T42" s="132"/>
      <c r="U42" s="7"/>
    </row>
    <row r="43">
      <c r="A43" s="14"/>
      <c r="B43" s="135">
        <f t="shared" si="9"/>
        <v>17</v>
      </c>
      <c r="C43" s="156" t="str">
        <f t="shared" si="10"/>
        <v> Grissinger</v>
      </c>
      <c r="D43" s="180">
        <v>1.0</v>
      </c>
      <c r="E43" s="179"/>
      <c r="F43" s="177"/>
      <c r="G43" s="177"/>
      <c r="H43" s="177"/>
      <c r="I43" s="177"/>
      <c r="K43" s="135">
        <f t="shared" si="11"/>
        <v>17</v>
      </c>
      <c r="L43" s="156" t="str">
        <f t="shared" si="12"/>
        <v> Katz</v>
      </c>
      <c r="M43" s="180">
        <v>1.0</v>
      </c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Martinez</v>
      </c>
      <c r="D44" s="180"/>
      <c r="E44" s="179">
        <v>1.0</v>
      </c>
      <c r="F44" s="177"/>
      <c r="G44" s="177"/>
      <c r="H44" s="177"/>
      <c r="I44" s="177"/>
      <c r="K44" s="129">
        <f t="shared" si="11"/>
        <v>18</v>
      </c>
      <c r="L44" s="156" t="str">
        <f t="shared" si="12"/>
        <v> Pugliese</v>
      </c>
      <c r="M44" s="180">
        <v>1.0</v>
      </c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Grissinger</v>
      </c>
      <c r="D45" s="180">
        <v>1.0</v>
      </c>
      <c r="E45" s="181"/>
      <c r="F45" s="177"/>
      <c r="G45" s="177"/>
      <c r="H45" s="177"/>
      <c r="I45" s="177"/>
      <c r="K45" s="129">
        <f t="shared" si="11"/>
        <v>18</v>
      </c>
      <c r="L45" s="156" t="str">
        <f t="shared" si="12"/>
        <v> Katz</v>
      </c>
      <c r="M45" s="180">
        <v>1.0</v>
      </c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Martinez</v>
      </c>
      <c r="D46" s="180">
        <v>1.0</v>
      </c>
      <c r="E46" s="181"/>
      <c r="F46" s="177"/>
      <c r="G46" s="177"/>
      <c r="H46" s="177"/>
      <c r="I46" s="177"/>
      <c r="K46" s="135">
        <f t="shared" si="11"/>
        <v>19</v>
      </c>
      <c r="L46" s="156" t="str">
        <f t="shared" si="12"/>
        <v> Pugliese</v>
      </c>
      <c r="M46" s="180">
        <v>1.0</v>
      </c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Grissinger</v>
      </c>
      <c r="D47" s="180">
        <v>1.0</v>
      </c>
      <c r="E47" s="181"/>
      <c r="F47" s="177"/>
      <c r="G47" s="177"/>
      <c r="H47" s="177"/>
      <c r="I47" s="177"/>
      <c r="K47" s="129">
        <f t="shared" si="11"/>
        <v>19</v>
      </c>
      <c r="L47" s="156" t="str">
        <f t="shared" si="12"/>
        <v> Katz</v>
      </c>
      <c r="M47" s="180">
        <v>1.0</v>
      </c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Martinez</v>
      </c>
      <c r="D48" s="180">
        <v>1.0</v>
      </c>
      <c r="E48" s="181"/>
      <c r="F48" s="177"/>
      <c r="G48" s="177"/>
      <c r="H48" s="177"/>
      <c r="I48" s="177"/>
      <c r="K48" s="135">
        <f t="shared" si="11"/>
        <v>20</v>
      </c>
      <c r="L48" s="156" t="str">
        <f t="shared" si="12"/>
        <v> Pugliese</v>
      </c>
      <c r="M48" s="180">
        <v>1.0</v>
      </c>
      <c r="N48" s="179"/>
      <c r="P48" s="136">
        <v>1.0</v>
      </c>
      <c r="T48" s="132"/>
      <c r="U48" s="7"/>
    </row>
    <row r="49">
      <c r="A49" s="8"/>
      <c r="B49" s="129">
        <f t="shared" si="9"/>
        <v>20</v>
      </c>
      <c r="C49" s="156" t="str">
        <f t="shared" si="10"/>
        <v> Grissinger</v>
      </c>
      <c r="D49" s="180">
        <v>1.0</v>
      </c>
      <c r="E49" s="179"/>
      <c r="F49" s="177"/>
      <c r="G49" s="177"/>
      <c r="H49" s="177"/>
      <c r="I49" s="177"/>
      <c r="K49" s="129">
        <f t="shared" si="11"/>
        <v>20</v>
      </c>
      <c r="L49" s="156" t="str">
        <f t="shared" si="12"/>
        <v> Katz</v>
      </c>
      <c r="M49" s="180">
        <v>1.0</v>
      </c>
      <c r="N49" s="181"/>
      <c r="P49" s="136">
        <v>1.0</v>
      </c>
      <c r="T49" s="132"/>
      <c r="U49" s="7"/>
    </row>
    <row r="50">
      <c r="A50" s="8"/>
      <c r="B50" s="129">
        <f t="shared" si="9"/>
        <v>21</v>
      </c>
      <c r="C50" s="156" t="str">
        <f t="shared" si="10"/>
        <v> Martinez</v>
      </c>
      <c r="D50" s="180">
        <v>1.0</v>
      </c>
      <c r="E50" s="181"/>
      <c r="F50" s="177"/>
      <c r="G50" s="177"/>
      <c r="H50" s="177"/>
      <c r="I50" s="177"/>
      <c r="K50" s="129">
        <f t="shared" si="11"/>
        <v>21</v>
      </c>
      <c r="L50" s="156" t="str">
        <f t="shared" si="12"/>
        <v> Pugliese</v>
      </c>
      <c r="M50" s="180">
        <v>1.0</v>
      </c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Grissinger</v>
      </c>
      <c r="D51" s="180">
        <v>1.0</v>
      </c>
      <c r="E51" s="181"/>
      <c r="F51" s="177"/>
      <c r="G51" s="127">
        <v>1.0</v>
      </c>
      <c r="H51" s="177"/>
      <c r="I51" s="177"/>
      <c r="K51" s="135">
        <f t="shared" si="11"/>
        <v>21</v>
      </c>
      <c r="L51" s="156" t="str">
        <f t="shared" si="12"/>
        <v> Katz</v>
      </c>
      <c r="M51" s="180">
        <v>1.0</v>
      </c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Martinez</v>
      </c>
      <c r="D52" s="180">
        <v>1.0</v>
      </c>
      <c r="E52" s="181"/>
      <c r="F52" s="177"/>
      <c r="G52" s="177"/>
      <c r="H52" s="177"/>
      <c r="I52" s="177"/>
      <c r="K52" s="129">
        <f t="shared" si="11"/>
        <v>22</v>
      </c>
      <c r="L52" s="156" t="str">
        <f t="shared" si="12"/>
        <v> Pugliese</v>
      </c>
      <c r="M52" s="180">
        <v>1.0</v>
      </c>
      <c r="N52" s="181"/>
      <c r="P52" s="136">
        <v>1.0</v>
      </c>
      <c r="T52" s="132"/>
      <c r="U52" s="7"/>
    </row>
    <row r="53">
      <c r="A53" s="14"/>
      <c r="B53" s="135">
        <f t="shared" si="9"/>
        <v>22</v>
      </c>
      <c r="C53" s="156" t="str">
        <f t="shared" si="10"/>
        <v> Grissinger</v>
      </c>
      <c r="D53" s="180">
        <v>1.0</v>
      </c>
      <c r="E53" s="181"/>
      <c r="F53" s="177"/>
      <c r="G53" s="177"/>
      <c r="H53" s="177"/>
      <c r="I53" s="177"/>
      <c r="K53" s="135">
        <f t="shared" si="11"/>
        <v>22</v>
      </c>
      <c r="L53" s="156" t="str">
        <f t="shared" si="12"/>
        <v> Katz</v>
      </c>
      <c r="M53" s="180">
        <v>1.0</v>
      </c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Martinez</v>
      </c>
      <c r="D54" s="180">
        <v>1.0</v>
      </c>
      <c r="E54" s="181"/>
      <c r="F54" s="177"/>
      <c r="G54" s="177"/>
      <c r="H54" s="177"/>
      <c r="I54" s="177"/>
      <c r="K54" s="129">
        <f t="shared" si="11"/>
        <v>23</v>
      </c>
      <c r="L54" s="156" t="str">
        <f t="shared" si="12"/>
        <v> Pugliese</v>
      </c>
      <c r="M54" s="180">
        <v>1.0</v>
      </c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Grissinger</v>
      </c>
      <c r="D55" s="180">
        <v>1.0</v>
      </c>
      <c r="E55" s="181"/>
      <c r="K55" s="135">
        <f t="shared" si="11"/>
        <v>23</v>
      </c>
      <c r="L55" s="156" t="str">
        <f t="shared" si="12"/>
        <v> Katz</v>
      </c>
      <c r="M55" s="180">
        <v>1.0</v>
      </c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Martinez</v>
      </c>
      <c r="D56" s="180">
        <v>1.0</v>
      </c>
      <c r="E56" s="181"/>
      <c r="K56" s="129">
        <f t="shared" si="11"/>
        <v>24</v>
      </c>
      <c r="L56" s="156" t="str">
        <f t="shared" si="12"/>
        <v> Pugliese</v>
      </c>
      <c r="M56" s="180">
        <v>1.0</v>
      </c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Grissinger</v>
      </c>
      <c r="D57" s="180">
        <v>1.0</v>
      </c>
      <c r="E57" s="181"/>
      <c r="K57" s="129">
        <f t="shared" si="11"/>
        <v>24</v>
      </c>
      <c r="L57" s="156" t="str">
        <f t="shared" si="12"/>
        <v> Katz</v>
      </c>
      <c r="M57" s="180">
        <v>1.0</v>
      </c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Martinez</v>
      </c>
      <c r="D58" s="180">
        <v>1.0</v>
      </c>
      <c r="E58" s="181"/>
      <c r="K58" s="135">
        <f t="shared" si="11"/>
        <v>25</v>
      </c>
      <c r="L58" s="156" t="str">
        <f t="shared" si="12"/>
        <v> Pugliese</v>
      </c>
      <c r="M58" s="180">
        <v>1.0</v>
      </c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Grissinger</v>
      </c>
      <c r="D59" s="180">
        <v>1.0</v>
      </c>
      <c r="E59" s="181"/>
      <c r="K59" s="129">
        <f t="shared" si="11"/>
        <v>25</v>
      </c>
      <c r="L59" s="156" t="str">
        <f t="shared" si="12"/>
        <v> Katz</v>
      </c>
      <c r="M59" s="180">
        <v>1.0</v>
      </c>
      <c r="N59" s="181"/>
      <c r="P59" s="136">
        <v>1.0</v>
      </c>
      <c r="T59" s="132"/>
      <c r="U59" s="7"/>
    </row>
    <row r="60">
      <c r="A60" s="14"/>
      <c r="B60" s="135">
        <f t="shared" si="9"/>
        <v>26</v>
      </c>
      <c r="C60" s="156" t="str">
        <f t="shared" si="10"/>
        <v> Martinez</v>
      </c>
      <c r="D60" s="180">
        <v>1.0</v>
      </c>
      <c r="E60" s="181"/>
      <c r="K60" s="135">
        <f t="shared" si="11"/>
        <v>26</v>
      </c>
      <c r="L60" s="156" t="str">
        <f t="shared" si="12"/>
        <v> Pugliese</v>
      </c>
      <c r="M60" s="180">
        <v>1.0</v>
      </c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Grissinger</v>
      </c>
      <c r="D61" s="180">
        <v>1.0</v>
      </c>
      <c r="E61" s="181"/>
      <c r="G61" s="136">
        <v>1.0</v>
      </c>
      <c r="K61" s="129">
        <f t="shared" si="11"/>
        <v>26</v>
      </c>
      <c r="L61" s="156" t="str">
        <f t="shared" si="12"/>
        <v> Katz</v>
      </c>
      <c r="M61" s="180">
        <v>1.0</v>
      </c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Martinez</v>
      </c>
      <c r="D62" s="180"/>
      <c r="E62" s="181"/>
      <c r="K62" s="135">
        <f t="shared" si="11"/>
        <v>27</v>
      </c>
      <c r="L62" s="156" t="str">
        <f t="shared" si="12"/>
        <v> Pugliese</v>
      </c>
      <c r="M62" s="180">
        <v>1.0</v>
      </c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Grissinger</v>
      </c>
      <c r="D63" s="180"/>
      <c r="E63" s="181"/>
      <c r="K63" s="129">
        <f t="shared" si="11"/>
        <v>27</v>
      </c>
      <c r="L63" s="156" t="str">
        <f t="shared" si="12"/>
        <v> Katz</v>
      </c>
      <c r="M63" s="180"/>
      <c r="N63" s="179">
        <v>1.0</v>
      </c>
      <c r="T63" s="132"/>
      <c r="U63" s="7"/>
    </row>
    <row r="64">
      <c r="A64" s="14"/>
      <c r="B64" s="135">
        <f t="shared" si="9"/>
        <v>28</v>
      </c>
      <c r="C64" s="156" t="str">
        <f t="shared" si="10"/>
        <v> Martinez</v>
      </c>
      <c r="D64" s="178"/>
      <c r="E64" s="181"/>
      <c r="K64" s="135">
        <f t="shared" si="11"/>
        <v>28</v>
      </c>
      <c r="L64" s="156" t="str">
        <f t="shared" si="12"/>
        <v> Pugliese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Grissinger</v>
      </c>
      <c r="D65" s="178"/>
      <c r="E65" s="181"/>
      <c r="K65" s="129">
        <f t="shared" si="11"/>
        <v>28</v>
      </c>
      <c r="L65" s="156" t="str">
        <f t="shared" si="12"/>
        <v> Katz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Martinez</v>
      </c>
      <c r="D66" s="178"/>
      <c r="E66" s="181"/>
      <c r="K66" s="135">
        <f t="shared" si="11"/>
        <v>29</v>
      </c>
      <c r="L66" s="156" t="str">
        <f t="shared" si="12"/>
        <v> Pugliese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Grissinger</v>
      </c>
      <c r="D67" s="178"/>
      <c r="E67" s="181"/>
      <c r="K67" s="135">
        <f t="shared" si="11"/>
        <v>29</v>
      </c>
      <c r="L67" s="156" t="str">
        <f t="shared" si="12"/>
        <v> Katz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Martinez</v>
      </c>
      <c r="D68" s="178"/>
      <c r="E68" s="181"/>
      <c r="K68" s="135">
        <f t="shared" si="11"/>
        <v>30</v>
      </c>
      <c r="L68" s="156" t="str">
        <f t="shared" si="12"/>
        <v> Pugliese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Grissinger</v>
      </c>
      <c r="D69" s="178"/>
      <c r="E69" s="181"/>
      <c r="K69" s="135">
        <f t="shared" si="11"/>
        <v>30</v>
      </c>
      <c r="L69" s="156" t="str">
        <f t="shared" si="12"/>
        <v> Katz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Martinez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Pugliese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Grissinger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Katz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Martinez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Pugliese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Grissinger</v>
      </c>
      <c r="D73" s="178"/>
      <c r="E73" s="181"/>
      <c r="K73" s="129">
        <v>32.0</v>
      </c>
      <c r="L73" s="156" t="str">
        <f t="shared" si="12"/>
        <v> Katz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Martinez</v>
      </c>
      <c r="D74" s="192"/>
      <c r="E74" s="181"/>
      <c r="K74" s="129">
        <v>33.0</v>
      </c>
      <c r="L74" s="156" t="str">
        <f t="shared" si="12"/>
        <v> Pugliese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Grissinger</v>
      </c>
      <c r="D75" s="178"/>
      <c r="E75" s="181"/>
      <c r="K75" s="129">
        <v>33.0</v>
      </c>
      <c r="L75" s="156" t="str">
        <f t="shared" si="12"/>
        <v> Katz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Martinez</v>
      </c>
      <c r="D76" s="178"/>
      <c r="E76" s="181"/>
      <c r="K76" s="129">
        <v>34.0</v>
      </c>
      <c r="L76" s="156" t="str">
        <f t="shared" si="12"/>
        <v> Pugliese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Grissinger</v>
      </c>
      <c r="D77" s="178"/>
      <c r="E77" s="181"/>
      <c r="K77" s="129">
        <v>34.0</v>
      </c>
      <c r="L77" s="156" t="str">
        <f t="shared" si="12"/>
        <v> Katz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Martinez</v>
      </c>
      <c r="D78" s="178"/>
      <c r="E78" s="181"/>
      <c r="K78" s="129">
        <v>35.0</v>
      </c>
      <c r="L78" s="156" t="str">
        <f t="shared" si="12"/>
        <v> Pugliese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Grissinger</v>
      </c>
      <c r="D79" s="178"/>
      <c r="E79" s="181"/>
      <c r="K79" s="129">
        <v>35.0</v>
      </c>
      <c r="L79" s="156" t="str">
        <f t="shared" si="12"/>
        <v> Katz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Martinez</v>
      </c>
      <c r="D80" s="178"/>
      <c r="E80" s="181"/>
      <c r="K80" s="129">
        <v>36.0</v>
      </c>
      <c r="L80" s="156" t="str">
        <f t="shared" si="12"/>
        <v> Pugliese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Grissinger</v>
      </c>
      <c r="D81" s="178"/>
      <c r="E81" s="181"/>
      <c r="K81" s="129">
        <v>36.0</v>
      </c>
      <c r="L81" s="156" t="str">
        <f t="shared" si="12"/>
        <v> Katz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Martinez</v>
      </c>
      <c r="D82" s="178"/>
      <c r="E82" s="181"/>
      <c r="K82" s="129">
        <v>37.0</v>
      </c>
      <c r="L82" s="156" t="str">
        <f t="shared" si="12"/>
        <v> Pugliese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Grissinger</v>
      </c>
      <c r="D83" s="178"/>
      <c r="E83" s="181"/>
      <c r="K83" s="129">
        <v>37.0</v>
      </c>
      <c r="L83" s="156" t="str">
        <f t="shared" si="12"/>
        <v> Katz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Martinez</v>
      </c>
      <c r="D84" s="178"/>
      <c r="E84" s="181"/>
      <c r="K84" s="129">
        <v>38.0</v>
      </c>
      <c r="L84" s="156" t="str">
        <f t="shared" si="12"/>
        <v> Pugliese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Grissinger</v>
      </c>
      <c r="D85" s="178"/>
      <c r="E85" s="181"/>
      <c r="K85" s="129">
        <v>38.0</v>
      </c>
      <c r="L85" s="156" t="str">
        <f t="shared" si="12"/>
        <v> Katz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Martinez</v>
      </c>
      <c r="D86" s="178"/>
      <c r="E86" s="181"/>
      <c r="K86" s="129">
        <v>39.0</v>
      </c>
      <c r="L86" s="156" t="str">
        <f t="shared" si="12"/>
        <v> Pugliese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Grissinger</v>
      </c>
      <c r="D87" s="178"/>
      <c r="E87" s="181"/>
      <c r="K87" s="129">
        <v>39.0</v>
      </c>
      <c r="L87" s="156" t="str">
        <f t="shared" si="12"/>
        <v> Katz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Martinez</v>
      </c>
      <c r="D88" s="178"/>
      <c r="E88" s="181"/>
      <c r="K88" s="129">
        <v>40.0</v>
      </c>
      <c r="L88" s="156" t="str">
        <f t="shared" si="12"/>
        <v> Pugliese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Grissinger</v>
      </c>
      <c r="D89" s="178"/>
      <c r="E89" s="181"/>
      <c r="K89" s="129">
        <v>40.0</v>
      </c>
      <c r="L89" s="156" t="str">
        <f t="shared" si="12"/>
        <v> Katz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96</v>
      </c>
      <c r="D3" s="189">
        <f t="shared" ref="D3:J3" si="1">SUMPRODUCT(D10:D90,MOD(ROW(D10:D90),2)=0)</f>
        <v>17</v>
      </c>
      <c r="E3" s="189">
        <f t="shared" si="1"/>
        <v>10</v>
      </c>
      <c r="F3" s="189">
        <f t="shared" si="1"/>
        <v>1</v>
      </c>
      <c r="G3" s="189">
        <f t="shared" si="1"/>
        <v>1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102</v>
      </c>
      <c r="M3" s="189">
        <f t="shared" ref="M3:S3" si="2">SUMPRODUCT(M10:M90,MOD(ROW(M10:M90),2)=0)</f>
        <v>20</v>
      </c>
      <c r="N3" s="189">
        <f t="shared" si="2"/>
        <v>5</v>
      </c>
      <c r="O3" s="189">
        <f t="shared" si="2"/>
        <v>1</v>
      </c>
      <c r="P3" s="189">
        <f t="shared" si="2"/>
        <v>1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89</v>
      </c>
      <c r="D4" s="191">
        <f t="shared" ref="D4:J4" si="3">SUMPRODUCT(D10:D90,MOD(ROW(D10:D90),2))</f>
        <v>21</v>
      </c>
      <c r="E4" s="191">
        <f t="shared" si="3"/>
        <v>6</v>
      </c>
      <c r="F4" s="191">
        <f t="shared" si="3"/>
        <v>0</v>
      </c>
      <c r="G4" s="191">
        <f t="shared" si="3"/>
        <v>3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117</v>
      </c>
      <c r="M4" s="191">
        <f t="shared" ref="M4:S4" si="4">SUMPRODUCT(M10:M90,MOD(ROW(M10:M90),2))</f>
        <v>17</v>
      </c>
      <c r="N4" s="191">
        <f t="shared" si="4"/>
        <v>8</v>
      </c>
      <c r="O4" s="191">
        <f t="shared" si="4"/>
        <v>1</v>
      </c>
      <c r="P4" s="191">
        <f t="shared" si="4"/>
        <v>2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Wiggs %</v>
      </c>
      <c r="D5" s="137">
        <f t="shared" ref="D5:D6" si="6">IFERROR((E3/(E3+D3)),0)</f>
        <v>0.3703703704</v>
      </c>
      <c r="K5" s="135"/>
      <c r="L5" s="136" t="str">
        <f t="shared" ref="L5:L6" si="7">IFERROR((L10 &amp;" %"), "")</f>
        <v>Bello %</v>
      </c>
      <c r="M5" s="137">
        <f t="shared" ref="M5:M6" si="8">IFERROR((N3/(N3+M3)),0)</f>
        <v>0.2</v>
      </c>
      <c r="S5" s="132"/>
      <c r="T5" s="132"/>
      <c r="U5" s="7"/>
    </row>
    <row r="6">
      <c r="A6" s="14"/>
      <c r="B6" s="138"/>
      <c r="C6" s="139" t="str">
        <f t="shared" si="5"/>
        <v>Boggs %</v>
      </c>
      <c r="D6" s="140">
        <f t="shared" si="6"/>
        <v>0.2222222222</v>
      </c>
      <c r="E6" s="141"/>
      <c r="F6" s="141"/>
      <c r="G6" s="141"/>
      <c r="H6" s="141"/>
      <c r="I6" s="141"/>
      <c r="J6" s="141"/>
      <c r="K6" s="138"/>
      <c r="L6" s="139" t="str">
        <f t="shared" si="7"/>
        <v>Keith %</v>
      </c>
      <c r="M6" s="142">
        <f t="shared" si="8"/>
        <v>0.32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">
        <v>188</v>
      </c>
      <c r="D10" s="197"/>
      <c r="E10" s="198">
        <v>1.0</v>
      </c>
      <c r="F10" s="199"/>
      <c r="G10" s="199"/>
      <c r="H10" s="177"/>
      <c r="I10" s="177"/>
      <c r="K10" s="129">
        <v>1.0</v>
      </c>
      <c r="L10" s="136" t="s">
        <v>189</v>
      </c>
      <c r="M10" s="197"/>
      <c r="N10" s="198">
        <v>1.0</v>
      </c>
      <c r="O10" s="177"/>
      <c r="P10" s="199"/>
      <c r="Q10" s="177"/>
      <c r="R10" s="177"/>
      <c r="T10" s="132"/>
      <c r="U10" s="7"/>
    </row>
    <row r="11">
      <c r="A11" s="8"/>
      <c r="B11" s="129">
        <v>1.0</v>
      </c>
      <c r="C11" s="136" t="s">
        <v>190</v>
      </c>
      <c r="D11" s="202">
        <v>1.0</v>
      </c>
      <c r="E11" s="203"/>
      <c r="F11" s="177"/>
      <c r="G11" s="177"/>
      <c r="H11" s="177"/>
      <c r="I11" s="177"/>
      <c r="K11" s="129">
        <v>1.0</v>
      </c>
      <c r="L11" s="136" t="s">
        <v>191</v>
      </c>
      <c r="M11" s="202">
        <v>1.0</v>
      </c>
      <c r="N11" s="203"/>
      <c r="O11" s="177"/>
      <c r="P11" s="177"/>
      <c r="Q11" s="177"/>
      <c r="R11" s="177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Wiggs</v>
      </c>
      <c r="D12" s="202">
        <v>1.0</v>
      </c>
      <c r="E12" s="203"/>
      <c r="F12" s="177"/>
      <c r="G12" s="177"/>
      <c r="H12" s="177"/>
      <c r="I12" s="177"/>
      <c r="K12" s="129">
        <f t="shared" ref="K12:K69" si="11">K10+1</f>
        <v>2</v>
      </c>
      <c r="L12" s="156" t="str">
        <f t="shared" ref="L12:L89" si="12">L10</f>
        <v>Bello</v>
      </c>
      <c r="M12" s="200">
        <v>1.0</v>
      </c>
      <c r="N12" s="201"/>
      <c r="O12" s="177"/>
      <c r="P12" s="177"/>
      <c r="Q12" s="177"/>
      <c r="R12" s="177"/>
      <c r="T12" s="132"/>
      <c r="U12" s="7"/>
    </row>
    <row r="13">
      <c r="A13" s="14"/>
      <c r="B13" s="135">
        <f t="shared" si="9"/>
        <v>2</v>
      </c>
      <c r="C13" s="156" t="str">
        <f t="shared" si="10"/>
        <v>Boggs</v>
      </c>
      <c r="D13" s="200">
        <v>1.0</v>
      </c>
      <c r="E13" s="201"/>
      <c r="F13" s="177"/>
      <c r="G13" s="191"/>
      <c r="H13" s="177"/>
      <c r="I13" s="177"/>
      <c r="K13" s="135">
        <f t="shared" si="11"/>
        <v>2</v>
      </c>
      <c r="L13" s="156" t="str">
        <f t="shared" si="12"/>
        <v>Keith</v>
      </c>
      <c r="M13" s="202">
        <v>1.0</v>
      </c>
      <c r="N13" s="188"/>
      <c r="O13" s="177"/>
      <c r="P13" s="177"/>
      <c r="Q13" s="177"/>
      <c r="R13" s="177"/>
      <c r="T13" s="132"/>
      <c r="U13" s="7"/>
    </row>
    <row r="14">
      <c r="A14" s="8"/>
      <c r="B14" s="129">
        <f t="shared" si="9"/>
        <v>3</v>
      </c>
      <c r="C14" s="156" t="str">
        <f t="shared" si="10"/>
        <v>Wiggs</v>
      </c>
      <c r="D14" s="208"/>
      <c r="E14" s="207">
        <v>1.0</v>
      </c>
      <c r="F14" s="177"/>
      <c r="G14" s="177"/>
      <c r="H14" s="177"/>
      <c r="I14" s="177"/>
      <c r="K14" s="129">
        <f t="shared" si="11"/>
        <v>3</v>
      </c>
      <c r="L14" s="156" t="str">
        <f t="shared" si="12"/>
        <v>Bello</v>
      </c>
      <c r="M14" s="202">
        <v>1.0</v>
      </c>
      <c r="N14" s="188"/>
      <c r="O14" s="177"/>
      <c r="P14" s="177"/>
      <c r="Q14" s="177"/>
      <c r="R14" s="177"/>
      <c r="T14" s="132"/>
      <c r="U14" s="7"/>
    </row>
    <row r="15">
      <c r="A15" s="14"/>
      <c r="B15" s="135">
        <f t="shared" si="9"/>
        <v>3</v>
      </c>
      <c r="C15" s="156" t="str">
        <f t="shared" si="10"/>
        <v>Boggs</v>
      </c>
      <c r="D15" s="197"/>
      <c r="E15" s="198">
        <v>1.0</v>
      </c>
      <c r="F15" s="177"/>
      <c r="G15" s="177"/>
      <c r="H15" s="177"/>
      <c r="I15" s="177"/>
      <c r="K15" s="135">
        <f t="shared" si="11"/>
        <v>3</v>
      </c>
      <c r="L15" s="156" t="str">
        <f t="shared" si="12"/>
        <v>Keith</v>
      </c>
      <c r="M15" s="200">
        <v>1.0</v>
      </c>
      <c r="N15" s="205"/>
      <c r="O15" s="177"/>
      <c r="P15" s="127">
        <v>1.0</v>
      </c>
      <c r="Q15" s="177"/>
      <c r="R15" s="177"/>
      <c r="T15" s="132"/>
      <c r="U15" s="7"/>
    </row>
    <row r="16">
      <c r="A16" s="8"/>
      <c r="B16" s="129">
        <f t="shared" si="9"/>
        <v>4</v>
      </c>
      <c r="C16" s="156" t="str">
        <f t="shared" si="10"/>
        <v>Wiggs</v>
      </c>
      <c r="D16" s="200">
        <v>1.0</v>
      </c>
      <c r="E16" s="205"/>
      <c r="F16" s="177"/>
      <c r="G16" s="177"/>
      <c r="H16" s="177"/>
      <c r="I16" s="177"/>
      <c r="K16" s="129">
        <f t="shared" si="11"/>
        <v>4</v>
      </c>
      <c r="L16" s="156" t="str">
        <f t="shared" si="12"/>
        <v>Bello</v>
      </c>
      <c r="M16" s="200">
        <v>1.0</v>
      </c>
      <c r="N16" s="205"/>
      <c r="O16" s="177"/>
      <c r="P16" s="177"/>
      <c r="Q16" s="177"/>
      <c r="R16" s="177"/>
      <c r="T16" s="132"/>
      <c r="U16" s="7"/>
    </row>
    <row r="17">
      <c r="A17" s="14"/>
      <c r="B17" s="135">
        <f t="shared" si="9"/>
        <v>4</v>
      </c>
      <c r="C17" s="156" t="str">
        <f t="shared" si="10"/>
        <v>Boggs</v>
      </c>
      <c r="D17" s="200">
        <v>1.0</v>
      </c>
      <c r="E17" s="201"/>
      <c r="F17" s="177"/>
      <c r="G17" s="177"/>
      <c r="H17" s="177"/>
      <c r="I17" s="177"/>
      <c r="K17" s="135">
        <f t="shared" si="11"/>
        <v>4</v>
      </c>
      <c r="L17" s="156" t="str">
        <f t="shared" si="12"/>
        <v>Keith</v>
      </c>
      <c r="M17" s="202">
        <v>1.0</v>
      </c>
      <c r="N17" s="203"/>
      <c r="O17" s="177"/>
      <c r="P17" s="177"/>
      <c r="Q17" s="177"/>
      <c r="R17" s="177"/>
      <c r="T17" s="132"/>
      <c r="U17" s="7"/>
    </row>
    <row r="18">
      <c r="A18" s="8"/>
      <c r="B18" s="129">
        <f t="shared" si="9"/>
        <v>5</v>
      </c>
      <c r="C18" s="156" t="str">
        <f t="shared" si="10"/>
        <v>Wiggs</v>
      </c>
      <c r="D18" s="200">
        <v>1.0</v>
      </c>
      <c r="E18" s="201"/>
      <c r="F18" s="177"/>
      <c r="G18" s="191"/>
      <c r="H18" s="177"/>
      <c r="I18" s="177"/>
      <c r="K18" s="129">
        <f t="shared" si="11"/>
        <v>5</v>
      </c>
      <c r="L18" s="156" t="str">
        <f t="shared" si="12"/>
        <v>Bello</v>
      </c>
      <c r="M18" s="197"/>
      <c r="N18" s="198">
        <v>1.0</v>
      </c>
      <c r="O18" s="177"/>
      <c r="P18" s="177"/>
      <c r="Q18" s="177"/>
      <c r="R18" s="177"/>
      <c r="T18" s="132"/>
      <c r="U18" s="7"/>
    </row>
    <row r="19">
      <c r="A19" s="14"/>
      <c r="B19" s="135">
        <f t="shared" si="9"/>
        <v>5</v>
      </c>
      <c r="C19" s="156" t="str">
        <f t="shared" si="10"/>
        <v>Boggs</v>
      </c>
      <c r="D19" s="197"/>
      <c r="E19" s="198">
        <v>1.0</v>
      </c>
      <c r="F19" s="177"/>
      <c r="G19" s="177"/>
      <c r="H19" s="177"/>
      <c r="I19" s="177"/>
      <c r="K19" s="135">
        <f t="shared" si="11"/>
        <v>5</v>
      </c>
      <c r="L19" s="156" t="str">
        <f t="shared" si="12"/>
        <v>Keith</v>
      </c>
      <c r="M19" s="202">
        <v>1.0</v>
      </c>
      <c r="N19" s="203"/>
      <c r="O19" s="177"/>
      <c r="P19" s="177"/>
      <c r="Q19" s="177"/>
      <c r="R19" s="177"/>
      <c r="T19" s="132"/>
      <c r="U19" s="7"/>
    </row>
    <row r="20">
      <c r="A20" s="8"/>
      <c r="B20" s="129">
        <f t="shared" si="9"/>
        <v>6</v>
      </c>
      <c r="C20" s="156" t="str">
        <f t="shared" si="10"/>
        <v>Wiggs</v>
      </c>
      <c r="D20" s="200">
        <v>1.0</v>
      </c>
      <c r="E20" s="201"/>
      <c r="F20" s="177"/>
      <c r="G20" s="177"/>
      <c r="H20" s="177"/>
      <c r="I20" s="177"/>
      <c r="K20" s="129">
        <f t="shared" si="11"/>
        <v>6</v>
      </c>
      <c r="L20" s="156" t="str">
        <f t="shared" si="12"/>
        <v>Bello</v>
      </c>
      <c r="M20" s="197"/>
      <c r="N20" s="198">
        <v>1.0</v>
      </c>
      <c r="O20" s="177"/>
      <c r="P20" s="177"/>
      <c r="Q20" s="177"/>
      <c r="R20" s="177"/>
      <c r="T20" s="132"/>
      <c r="U20" s="7"/>
    </row>
    <row r="21">
      <c r="A21" s="14"/>
      <c r="B21" s="135">
        <f t="shared" si="9"/>
        <v>6</v>
      </c>
      <c r="C21" s="156" t="str">
        <f t="shared" si="10"/>
        <v>Boggs</v>
      </c>
      <c r="D21" s="200">
        <v>1.0</v>
      </c>
      <c r="E21" s="205"/>
      <c r="F21" s="177"/>
      <c r="G21" s="177"/>
      <c r="H21" s="177"/>
      <c r="I21" s="177"/>
      <c r="K21" s="135">
        <f t="shared" si="11"/>
        <v>6</v>
      </c>
      <c r="L21" s="156" t="str">
        <f t="shared" si="12"/>
        <v>Keith</v>
      </c>
      <c r="M21" s="200">
        <v>1.0</v>
      </c>
      <c r="N21" s="205"/>
      <c r="O21" s="177"/>
      <c r="P21" s="177"/>
      <c r="Q21" s="177"/>
      <c r="R21" s="177"/>
      <c r="T21" s="132"/>
      <c r="U21" s="7"/>
    </row>
    <row r="22">
      <c r="A22" s="8"/>
      <c r="B22" s="129">
        <f t="shared" si="9"/>
        <v>7</v>
      </c>
      <c r="C22" s="156" t="str">
        <f t="shared" si="10"/>
        <v>Wiggs</v>
      </c>
      <c r="D22" s="202">
        <v>1.0</v>
      </c>
      <c r="E22" s="188"/>
      <c r="F22" s="127">
        <v>1.0</v>
      </c>
      <c r="G22" s="177"/>
      <c r="H22" s="177"/>
      <c r="I22" s="177"/>
      <c r="K22" s="129">
        <f t="shared" si="11"/>
        <v>7</v>
      </c>
      <c r="L22" s="156" t="str">
        <f t="shared" si="12"/>
        <v>Bello</v>
      </c>
      <c r="M22" s="200">
        <v>1.0</v>
      </c>
      <c r="N22" s="205"/>
      <c r="O22" s="177"/>
      <c r="P22" s="177"/>
      <c r="Q22" s="177"/>
      <c r="R22" s="177"/>
      <c r="T22" s="132"/>
      <c r="U22" s="7"/>
    </row>
    <row r="23">
      <c r="A23" s="14"/>
      <c r="B23" s="135">
        <f t="shared" si="9"/>
        <v>7</v>
      </c>
      <c r="C23" s="156" t="str">
        <f t="shared" si="10"/>
        <v>Boggs</v>
      </c>
      <c r="D23" s="197"/>
      <c r="E23" s="198">
        <v>1.0</v>
      </c>
      <c r="F23" s="177"/>
      <c r="G23" s="177"/>
      <c r="H23" s="177"/>
      <c r="I23" s="177"/>
      <c r="K23" s="135">
        <f t="shared" si="11"/>
        <v>7</v>
      </c>
      <c r="L23" s="156" t="str">
        <f t="shared" si="12"/>
        <v>Keith</v>
      </c>
      <c r="M23" s="200">
        <v>1.0</v>
      </c>
      <c r="N23" s="205"/>
      <c r="O23" s="177"/>
      <c r="P23" s="177"/>
      <c r="Q23" s="177"/>
      <c r="R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Wiggs</v>
      </c>
      <c r="D24" s="200">
        <v>1.0</v>
      </c>
      <c r="E24" s="205"/>
      <c r="F24" s="177"/>
      <c r="G24" s="177"/>
      <c r="H24" s="177"/>
      <c r="I24" s="177"/>
      <c r="K24" s="129">
        <f t="shared" si="11"/>
        <v>8</v>
      </c>
      <c r="L24" s="156" t="str">
        <f t="shared" si="12"/>
        <v>Bello</v>
      </c>
      <c r="M24" s="202">
        <v>1.0</v>
      </c>
      <c r="N24" s="188"/>
      <c r="O24" s="177"/>
      <c r="P24" s="177"/>
      <c r="Q24" s="177"/>
      <c r="R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Boggs</v>
      </c>
      <c r="D25" s="202">
        <v>1.0</v>
      </c>
      <c r="E25" s="188"/>
      <c r="F25" s="177"/>
      <c r="G25" s="177"/>
      <c r="H25" s="177"/>
      <c r="I25" s="177"/>
      <c r="K25" s="135">
        <f t="shared" si="11"/>
        <v>8</v>
      </c>
      <c r="L25" s="156" t="str">
        <f t="shared" si="12"/>
        <v>Keith</v>
      </c>
      <c r="M25" s="206"/>
      <c r="N25" s="207">
        <v>1.0</v>
      </c>
      <c r="O25" s="177"/>
      <c r="P25" s="177"/>
      <c r="Q25" s="177"/>
      <c r="R25" s="177"/>
      <c r="T25" s="132"/>
      <c r="U25" s="7"/>
    </row>
    <row r="26">
      <c r="A26" s="8"/>
      <c r="B26" s="129">
        <f t="shared" si="9"/>
        <v>9</v>
      </c>
      <c r="C26" s="156" t="str">
        <f t="shared" si="10"/>
        <v>Wiggs</v>
      </c>
      <c r="D26" s="202">
        <v>1.0</v>
      </c>
      <c r="E26" s="188"/>
      <c r="F26" s="177"/>
      <c r="G26" s="177"/>
      <c r="H26" s="177"/>
      <c r="I26" s="177"/>
      <c r="K26" s="129">
        <f t="shared" si="11"/>
        <v>9</v>
      </c>
      <c r="L26" s="156" t="str">
        <f t="shared" si="12"/>
        <v>Bello</v>
      </c>
      <c r="M26" s="200">
        <v>1.0</v>
      </c>
      <c r="N26" s="205"/>
      <c r="O26" s="177"/>
      <c r="P26" s="177"/>
      <c r="Q26" s="177"/>
      <c r="R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Boggs</v>
      </c>
      <c r="D27" s="202">
        <v>1.0</v>
      </c>
      <c r="E27" s="188"/>
      <c r="F27" s="177"/>
      <c r="G27" s="177"/>
      <c r="H27" s="177"/>
      <c r="I27" s="177"/>
      <c r="K27" s="135">
        <f t="shared" si="11"/>
        <v>9</v>
      </c>
      <c r="L27" s="156" t="str">
        <f t="shared" si="12"/>
        <v>Keith</v>
      </c>
      <c r="M27" s="197"/>
      <c r="N27" s="198">
        <v>1.0</v>
      </c>
      <c r="O27" s="177"/>
      <c r="P27" s="177"/>
      <c r="Q27" s="177"/>
      <c r="R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Wiggs</v>
      </c>
      <c r="D28" s="197"/>
      <c r="E28" s="198">
        <v>1.0</v>
      </c>
      <c r="F28" s="177"/>
      <c r="G28" s="191"/>
      <c r="H28" s="177"/>
      <c r="I28" s="177"/>
      <c r="K28" s="129">
        <f t="shared" si="11"/>
        <v>10</v>
      </c>
      <c r="L28" s="156" t="str">
        <f t="shared" si="12"/>
        <v>Bello</v>
      </c>
      <c r="M28" s="200">
        <v>1.0</v>
      </c>
      <c r="N28" s="205"/>
      <c r="O28" s="177"/>
      <c r="P28" s="177"/>
      <c r="Q28" s="177"/>
      <c r="R28" s="177"/>
      <c r="T28" s="132"/>
      <c r="U28" s="7"/>
    </row>
    <row r="29">
      <c r="A29" s="14"/>
      <c r="B29" s="135">
        <f t="shared" si="9"/>
        <v>10</v>
      </c>
      <c r="C29" s="156" t="str">
        <f t="shared" si="10"/>
        <v>Boggs</v>
      </c>
      <c r="D29" s="200">
        <v>1.0</v>
      </c>
      <c r="E29" s="205"/>
      <c r="F29" s="177"/>
      <c r="G29" s="177"/>
      <c r="H29" s="177"/>
      <c r="I29" s="177"/>
      <c r="K29" s="135">
        <f t="shared" si="11"/>
        <v>10</v>
      </c>
      <c r="L29" s="156" t="str">
        <f t="shared" si="12"/>
        <v>Keith</v>
      </c>
      <c r="M29" s="197"/>
      <c r="N29" s="198">
        <v>1.0</v>
      </c>
      <c r="O29" s="177"/>
      <c r="P29" s="177"/>
      <c r="Q29" s="177"/>
      <c r="R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Wiggs</v>
      </c>
      <c r="D30" s="197"/>
      <c r="E30" s="198">
        <v>1.0</v>
      </c>
      <c r="F30" s="177"/>
      <c r="G30" s="177"/>
      <c r="H30" s="177"/>
      <c r="I30" s="177"/>
      <c r="K30" s="129">
        <f t="shared" si="11"/>
        <v>11</v>
      </c>
      <c r="L30" s="156" t="str">
        <f t="shared" si="12"/>
        <v>Bello</v>
      </c>
      <c r="M30" s="200">
        <v>1.0</v>
      </c>
      <c r="N30" s="205"/>
      <c r="O30" s="177"/>
      <c r="P30" s="177"/>
      <c r="Q30" s="177"/>
      <c r="R30" s="177"/>
      <c r="T30" s="132"/>
      <c r="U30" s="7"/>
    </row>
    <row r="31">
      <c r="A31" s="14"/>
      <c r="B31" s="135">
        <f t="shared" si="9"/>
        <v>11</v>
      </c>
      <c r="C31" s="156" t="str">
        <f t="shared" si="10"/>
        <v>Boggs</v>
      </c>
      <c r="D31" s="200">
        <v>1.0</v>
      </c>
      <c r="E31" s="205"/>
      <c r="F31" s="177"/>
      <c r="G31" s="127">
        <v>1.0</v>
      </c>
      <c r="H31" s="177"/>
      <c r="I31" s="177"/>
      <c r="K31" s="135">
        <f t="shared" si="11"/>
        <v>11</v>
      </c>
      <c r="L31" s="156" t="str">
        <f t="shared" si="12"/>
        <v>Keith</v>
      </c>
      <c r="M31" s="202">
        <v>1.0</v>
      </c>
      <c r="N31" s="203"/>
      <c r="O31" s="177"/>
      <c r="P31" s="177"/>
      <c r="Q31" s="177"/>
      <c r="R31" s="177"/>
      <c r="T31" s="132"/>
      <c r="U31" s="7"/>
    </row>
    <row r="32">
      <c r="A32" s="8"/>
      <c r="B32" s="129">
        <f t="shared" si="9"/>
        <v>12</v>
      </c>
      <c r="C32" s="156" t="str">
        <f t="shared" si="10"/>
        <v>Wiggs</v>
      </c>
      <c r="D32" s="200">
        <v>1.0</v>
      </c>
      <c r="E32" s="205"/>
      <c r="F32" s="177"/>
      <c r="G32" s="177"/>
      <c r="H32" s="177"/>
      <c r="I32" s="177"/>
      <c r="K32" s="129">
        <f t="shared" si="11"/>
        <v>12</v>
      </c>
      <c r="L32" s="156" t="str">
        <f t="shared" si="12"/>
        <v>Bello</v>
      </c>
      <c r="M32" s="200">
        <v>1.0</v>
      </c>
      <c r="N32" s="205"/>
      <c r="O32" s="177"/>
      <c r="P32" s="177"/>
      <c r="Q32" s="177"/>
      <c r="R32" s="177"/>
      <c r="T32" s="132"/>
      <c r="U32" s="7"/>
    </row>
    <row r="33">
      <c r="A33" s="14"/>
      <c r="B33" s="135">
        <f t="shared" si="9"/>
        <v>12</v>
      </c>
      <c r="C33" s="156" t="str">
        <f t="shared" si="10"/>
        <v>Boggs</v>
      </c>
      <c r="D33" s="200">
        <v>1.0</v>
      </c>
      <c r="E33" s="205"/>
      <c r="F33" s="177"/>
      <c r="G33" s="177"/>
      <c r="H33" s="177"/>
      <c r="I33" s="177"/>
      <c r="K33" s="135">
        <f t="shared" si="11"/>
        <v>12</v>
      </c>
      <c r="L33" s="156" t="str">
        <f t="shared" si="12"/>
        <v>Keith</v>
      </c>
      <c r="M33" s="200">
        <v>1.0</v>
      </c>
      <c r="N33" s="201"/>
      <c r="O33" s="177"/>
      <c r="P33" s="177"/>
      <c r="Q33" s="177"/>
      <c r="R33" s="177"/>
      <c r="T33" s="132"/>
      <c r="U33" s="7"/>
    </row>
    <row r="34">
      <c r="A34" s="8"/>
      <c r="B34" s="129">
        <f t="shared" si="9"/>
        <v>13</v>
      </c>
      <c r="C34" s="156" t="str">
        <f t="shared" si="10"/>
        <v>Wiggs</v>
      </c>
      <c r="D34" s="200">
        <v>1.0</v>
      </c>
      <c r="E34" s="205"/>
      <c r="F34" s="177"/>
      <c r="G34" s="177"/>
      <c r="H34" s="177"/>
      <c r="I34" s="177"/>
      <c r="K34" s="129">
        <f t="shared" si="11"/>
        <v>13</v>
      </c>
      <c r="L34" s="156" t="str">
        <f t="shared" si="12"/>
        <v>Bello</v>
      </c>
      <c r="M34" s="202">
        <v>1.0</v>
      </c>
      <c r="N34" s="188"/>
      <c r="O34" s="127">
        <v>1.0</v>
      </c>
      <c r="P34" s="177"/>
      <c r="Q34" s="177"/>
      <c r="R34" s="177"/>
      <c r="T34" s="132"/>
      <c r="U34" s="7"/>
    </row>
    <row r="35">
      <c r="A35" s="14"/>
      <c r="B35" s="135">
        <f t="shared" si="9"/>
        <v>13</v>
      </c>
      <c r="C35" s="156" t="str">
        <f t="shared" si="10"/>
        <v>Boggs</v>
      </c>
      <c r="D35" s="202">
        <v>1.0</v>
      </c>
      <c r="E35" s="188"/>
      <c r="F35" s="177"/>
      <c r="G35" s="177"/>
      <c r="H35" s="177"/>
      <c r="I35" s="177"/>
      <c r="K35" s="135">
        <f t="shared" si="11"/>
        <v>13</v>
      </c>
      <c r="L35" s="156" t="str">
        <f t="shared" si="12"/>
        <v>Keith</v>
      </c>
      <c r="M35" s="200">
        <v>1.0</v>
      </c>
      <c r="N35" s="205"/>
      <c r="O35" s="177"/>
      <c r="P35" s="177"/>
      <c r="Q35" s="177"/>
      <c r="R35" s="177"/>
      <c r="T35" s="132"/>
      <c r="U35" s="7"/>
    </row>
    <row r="36">
      <c r="A36" s="8"/>
      <c r="B36" s="129">
        <f t="shared" si="9"/>
        <v>14</v>
      </c>
      <c r="C36" s="156" t="str">
        <f t="shared" si="10"/>
        <v>Wiggs</v>
      </c>
      <c r="D36" s="208"/>
      <c r="E36" s="198">
        <v>1.0</v>
      </c>
      <c r="F36" s="177"/>
      <c r="G36" s="177"/>
      <c r="H36" s="177"/>
      <c r="I36" s="177"/>
      <c r="K36" s="129">
        <f t="shared" si="11"/>
        <v>14</v>
      </c>
      <c r="L36" s="156" t="str">
        <f t="shared" si="12"/>
        <v>Bello</v>
      </c>
      <c r="M36" s="202">
        <v>1.0</v>
      </c>
      <c r="N36" s="205"/>
      <c r="O36" s="177"/>
      <c r="P36" s="177"/>
      <c r="Q36" s="177"/>
      <c r="R36" s="177"/>
      <c r="T36" s="132"/>
      <c r="U36" s="7"/>
    </row>
    <row r="37">
      <c r="A37" s="14"/>
      <c r="B37" s="135">
        <f t="shared" si="9"/>
        <v>14</v>
      </c>
      <c r="C37" s="156" t="str">
        <f t="shared" si="10"/>
        <v>Boggs</v>
      </c>
      <c r="D37" s="202">
        <v>1.0</v>
      </c>
      <c r="E37" s="188"/>
      <c r="F37" s="177"/>
      <c r="G37" s="177"/>
      <c r="H37" s="177"/>
      <c r="I37" s="177"/>
      <c r="K37" s="135">
        <f t="shared" si="11"/>
        <v>14</v>
      </c>
      <c r="L37" s="156" t="str">
        <f t="shared" si="12"/>
        <v>Keith</v>
      </c>
      <c r="M37" s="202">
        <v>1.0</v>
      </c>
      <c r="N37" s="188"/>
      <c r="O37" s="177"/>
      <c r="P37" s="177"/>
      <c r="Q37" s="177"/>
      <c r="R37" s="177"/>
      <c r="T37" s="132"/>
      <c r="U37" s="7"/>
    </row>
    <row r="38">
      <c r="A38" s="8"/>
      <c r="B38" s="129">
        <f t="shared" si="9"/>
        <v>15</v>
      </c>
      <c r="C38" s="156" t="str">
        <f t="shared" si="10"/>
        <v>Wiggs</v>
      </c>
      <c r="D38" s="202">
        <v>1.0</v>
      </c>
      <c r="E38" s="205"/>
      <c r="F38" s="177"/>
      <c r="G38" s="177"/>
      <c r="H38" s="177"/>
      <c r="I38" s="177"/>
      <c r="K38" s="129">
        <f t="shared" si="11"/>
        <v>15</v>
      </c>
      <c r="L38" s="156" t="str">
        <f t="shared" si="12"/>
        <v>Bello</v>
      </c>
      <c r="M38" s="208"/>
      <c r="N38" s="198">
        <v>1.0</v>
      </c>
      <c r="O38" s="177"/>
      <c r="P38" s="177"/>
      <c r="Q38" s="177"/>
      <c r="R38" s="177"/>
      <c r="T38" s="132"/>
      <c r="U38" s="7"/>
    </row>
    <row r="39">
      <c r="A39" s="14"/>
      <c r="B39" s="135">
        <f t="shared" si="9"/>
        <v>15</v>
      </c>
      <c r="C39" s="156" t="str">
        <f t="shared" si="10"/>
        <v>Boggs</v>
      </c>
      <c r="D39" s="197"/>
      <c r="E39" s="198">
        <v>1.0</v>
      </c>
      <c r="F39" s="177"/>
      <c r="G39" s="177"/>
      <c r="H39" s="177"/>
      <c r="I39" s="177"/>
      <c r="K39" s="135">
        <f t="shared" si="11"/>
        <v>15</v>
      </c>
      <c r="L39" s="156" t="str">
        <f t="shared" si="12"/>
        <v>Keith</v>
      </c>
      <c r="M39" s="202">
        <v>1.0</v>
      </c>
      <c r="N39" s="205"/>
      <c r="O39" s="177"/>
      <c r="P39" s="127">
        <v>1.0</v>
      </c>
      <c r="Q39" s="177"/>
      <c r="R39" s="177"/>
      <c r="T39" s="132"/>
      <c r="U39" s="7"/>
    </row>
    <row r="40">
      <c r="A40" s="8"/>
      <c r="B40" s="129">
        <f t="shared" si="9"/>
        <v>16</v>
      </c>
      <c r="C40" s="156" t="str">
        <f t="shared" si="10"/>
        <v>Wiggs</v>
      </c>
      <c r="D40" s="180">
        <v>1.0</v>
      </c>
      <c r="E40" s="179"/>
      <c r="F40" s="177"/>
      <c r="G40" s="177"/>
      <c r="H40" s="177"/>
      <c r="I40" s="177"/>
      <c r="K40" s="129">
        <f t="shared" si="11"/>
        <v>16</v>
      </c>
      <c r="L40" s="156" t="str">
        <f t="shared" si="12"/>
        <v>Bello</v>
      </c>
      <c r="M40" s="209"/>
      <c r="N40" s="198">
        <v>1.0</v>
      </c>
      <c r="O40" s="177"/>
      <c r="P40" s="177"/>
      <c r="Q40" s="177"/>
      <c r="R40" s="177"/>
      <c r="T40" s="132"/>
      <c r="U40" s="7"/>
    </row>
    <row r="41">
      <c r="A41" s="14"/>
      <c r="B41" s="135">
        <f t="shared" si="9"/>
        <v>16</v>
      </c>
      <c r="C41" s="156" t="str">
        <f t="shared" si="10"/>
        <v>Boggs</v>
      </c>
      <c r="D41" s="180">
        <v>1.0</v>
      </c>
      <c r="E41" s="181"/>
      <c r="F41" s="177"/>
      <c r="G41" s="177"/>
      <c r="H41" s="177"/>
      <c r="I41" s="177"/>
      <c r="K41" s="135">
        <f t="shared" si="11"/>
        <v>16</v>
      </c>
      <c r="L41" s="156" t="str">
        <f t="shared" si="12"/>
        <v>Keith</v>
      </c>
      <c r="M41" s="210"/>
      <c r="N41" s="198">
        <v>1.0</v>
      </c>
      <c r="O41" s="177"/>
      <c r="P41" s="177"/>
      <c r="Q41" s="177"/>
      <c r="R41" s="177"/>
      <c r="T41" s="132"/>
      <c r="U41" s="7"/>
    </row>
    <row r="42">
      <c r="A42" s="8"/>
      <c r="B42" s="129">
        <f t="shared" si="9"/>
        <v>17</v>
      </c>
      <c r="C42" s="156" t="str">
        <f t="shared" si="10"/>
        <v>Wiggs</v>
      </c>
      <c r="D42" s="180">
        <v>1.0</v>
      </c>
      <c r="E42" s="181"/>
      <c r="F42" s="177"/>
      <c r="G42" s="177"/>
      <c r="H42" s="177"/>
      <c r="I42" s="177"/>
      <c r="K42" s="129">
        <f t="shared" si="11"/>
        <v>17</v>
      </c>
      <c r="L42" s="156" t="str">
        <f t="shared" si="12"/>
        <v>Bello</v>
      </c>
      <c r="M42" s="202">
        <v>1.0</v>
      </c>
      <c r="N42" s="205"/>
      <c r="O42" s="177"/>
      <c r="P42" s="177"/>
      <c r="Q42" s="177"/>
      <c r="R42" s="177"/>
      <c r="T42" s="132"/>
      <c r="U42" s="7"/>
    </row>
    <row r="43">
      <c r="A43" s="14"/>
      <c r="B43" s="135">
        <f t="shared" si="9"/>
        <v>17</v>
      </c>
      <c r="C43" s="156" t="str">
        <f t="shared" si="10"/>
        <v>Boggs</v>
      </c>
      <c r="D43" s="180">
        <v>1.0</v>
      </c>
      <c r="E43" s="179"/>
      <c r="F43" s="177"/>
      <c r="G43" s="177"/>
      <c r="H43" s="177"/>
      <c r="I43" s="177"/>
      <c r="K43" s="135">
        <f t="shared" si="11"/>
        <v>17</v>
      </c>
      <c r="L43" s="156" t="str">
        <f t="shared" si="12"/>
        <v>Keith</v>
      </c>
      <c r="M43" s="180">
        <v>1.0</v>
      </c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Wiggs</v>
      </c>
      <c r="D44" s="180">
        <v>1.0</v>
      </c>
      <c r="E44" s="181"/>
      <c r="F44" s="177"/>
      <c r="G44" s="177"/>
      <c r="H44" s="177"/>
      <c r="I44" s="177"/>
      <c r="K44" s="129">
        <f t="shared" si="11"/>
        <v>18</v>
      </c>
      <c r="L44" s="156" t="str">
        <f t="shared" si="12"/>
        <v>Bello</v>
      </c>
      <c r="M44" s="180">
        <v>1.0</v>
      </c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Boggs</v>
      </c>
      <c r="D45" s="180">
        <v>1.0</v>
      </c>
      <c r="E45" s="181"/>
      <c r="F45" s="177"/>
      <c r="G45" s="127">
        <v>1.0</v>
      </c>
      <c r="H45" s="177"/>
      <c r="I45" s="177"/>
      <c r="K45" s="129">
        <f t="shared" si="11"/>
        <v>18</v>
      </c>
      <c r="L45" s="156" t="str">
        <f t="shared" si="12"/>
        <v>Keith</v>
      </c>
      <c r="M45" s="180">
        <v>1.0</v>
      </c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Wiggs</v>
      </c>
      <c r="D46" s="180">
        <v>1.0</v>
      </c>
      <c r="E46" s="181"/>
      <c r="F46" s="177"/>
      <c r="G46" s="177"/>
      <c r="H46" s="177"/>
      <c r="I46" s="177"/>
      <c r="K46" s="135">
        <f t="shared" si="11"/>
        <v>19</v>
      </c>
      <c r="L46" s="156" t="str">
        <f t="shared" si="12"/>
        <v>Bello</v>
      </c>
      <c r="M46" s="180">
        <v>1.0</v>
      </c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Boggs</v>
      </c>
      <c r="D47" s="180">
        <v>1.0</v>
      </c>
      <c r="E47" s="181"/>
      <c r="F47" s="177"/>
      <c r="G47" s="177"/>
      <c r="H47" s="177"/>
      <c r="I47" s="177"/>
      <c r="K47" s="129">
        <f t="shared" si="11"/>
        <v>19</v>
      </c>
      <c r="L47" s="156" t="str">
        <f t="shared" si="12"/>
        <v>Keith</v>
      </c>
      <c r="M47" s="180">
        <v>1.0</v>
      </c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Wiggs</v>
      </c>
      <c r="D48" s="180"/>
      <c r="E48" s="179">
        <v>1.0</v>
      </c>
      <c r="F48" s="177"/>
      <c r="G48" s="177"/>
      <c r="H48" s="177"/>
      <c r="I48" s="177"/>
      <c r="K48" s="135">
        <f t="shared" si="11"/>
        <v>20</v>
      </c>
      <c r="L48" s="156" t="str">
        <f t="shared" si="12"/>
        <v>Bello</v>
      </c>
      <c r="M48" s="180">
        <v>1.0</v>
      </c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Boggs</v>
      </c>
      <c r="D49" s="180">
        <v>1.0</v>
      </c>
      <c r="E49" s="179"/>
      <c r="F49" s="177"/>
      <c r="G49" s="177"/>
      <c r="H49" s="177"/>
      <c r="I49" s="177"/>
      <c r="K49" s="129">
        <f t="shared" si="11"/>
        <v>20</v>
      </c>
      <c r="L49" s="156" t="str">
        <f t="shared" si="12"/>
        <v>Keith</v>
      </c>
      <c r="M49" s="180"/>
      <c r="N49" s="179">
        <v>1.0</v>
      </c>
      <c r="T49" s="132"/>
      <c r="U49" s="7"/>
    </row>
    <row r="50">
      <c r="A50" s="8"/>
      <c r="B50" s="129">
        <f t="shared" si="9"/>
        <v>21</v>
      </c>
      <c r="C50" s="156" t="str">
        <f t="shared" si="10"/>
        <v>Wiggs</v>
      </c>
      <c r="D50" s="180">
        <v>1.0</v>
      </c>
      <c r="E50" s="181"/>
      <c r="F50" s="177"/>
      <c r="G50" s="177"/>
      <c r="H50" s="177"/>
      <c r="I50" s="177"/>
      <c r="K50" s="129">
        <f t="shared" si="11"/>
        <v>21</v>
      </c>
      <c r="L50" s="156" t="str">
        <f t="shared" si="12"/>
        <v>Bello</v>
      </c>
      <c r="M50" s="180">
        <v>1.0</v>
      </c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Boggs</v>
      </c>
      <c r="D51" s="180">
        <v>1.0</v>
      </c>
      <c r="E51" s="181"/>
      <c r="F51" s="177"/>
      <c r="G51" s="177"/>
      <c r="H51" s="177"/>
      <c r="I51" s="177"/>
      <c r="K51" s="135">
        <f t="shared" si="11"/>
        <v>21</v>
      </c>
      <c r="L51" s="156" t="str">
        <f t="shared" si="12"/>
        <v>Keith</v>
      </c>
      <c r="M51" s="180"/>
      <c r="N51" s="179">
        <v>1.0</v>
      </c>
      <c r="T51" s="132"/>
      <c r="U51" s="7"/>
    </row>
    <row r="52">
      <c r="A52" s="8"/>
      <c r="B52" s="129">
        <f t="shared" si="9"/>
        <v>22</v>
      </c>
      <c r="C52" s="156" t="str">
        <f t="shared" si="10"/>
        <v>Wiggs</v>
      </c>
      <c r="D52" s="178"/>
      <c r="E52" s="179">
        <v>1.0</v>
      </c>
      <c r="F52" s="177"/>
      <c r="G52" s="177"/>
      <c r="H52" s="177"/>
      <c r="I52" s="177"/>
      <c r="K52" s="129">
        <f t="shared" si="11"/>
        <v>22</v>
      </c>
      <c r="L52" s="156" t="str">
        <f t="shared" si="12"/>
        <v>Bello</v>
      </c>
      <c r="M52" s="180">
        <v>1.0</v>
      </c>
      <c r="N52" s="181"/>
      <c r="O52" s="136"/>
      <c r="P52" s="136">
        <v>1.0</v>
      </c>
      <c r="T52" s="132"/>
      <c r="U52" s="7"/>
    </row>
    <row r="53">
      <c r="A53" s="14"/>
      <c r="B53" s="135">
        <f t="shared" si="9"/>
        <v>22</v>
      </c>
      <c r="C53" s="156" t="str">
        <f t="shared" si="10"/>
        <v>Boggs</v>
      </c>
      <c r="D53" s="180">
        <v>1.0</v>
      </c>
      <c r="E53" s="181"/>
      <c r="F53" s="177"/>
      <c r="G53" s="177"/>
      <c r="H53" s="177"/>
      <c r="I53" s="177"/>
      <c r="K53" s="135">
        <f t="shared" si="11"/>
        <v>22</v>
      </c>
      <c r="L53" s="156" t="str">
        <f t="shared" si="12"/>
        <v>Keith</v>
      </c>
      <c r="M53" s="178"/>
      <c r="N53" s="179">
        <v>1.0</v>
      </c>
      <c r="T53" s="132"/>
      <c r="U53" s="7"/>
    </row>
    <row r="54">
      <c r="A54" s="8"/>
      <c r="B54" s="129">
        <f t="shared" si="9"/>
        <v>23</v>
      </c>
      <c r="C54" s="156" t="str">
        <f t="shared" si="10"/>
        <v>Wiggs</v>
      </c>
      <c r="D54" s="178"/>
      <c r="E54" s="179">
        <v>1.0</v>
      </c>
      <c r="F54" s="177"/>
      <c r="G54" s="177"/>
      <c r="H54" s="177"/>
      <c r="I54" s="177"/>
      <c r="K54" s="129">
        <f t="shared" si="11"/>
        <v>23</v>
      </c>
      <c r="L54" s="156" t="str">
        <f t="shared" si="12"/>
        <v>Bello</v>
      </c>
      <c r="M54" s="180">
        <v>1.0</v>
      </c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Boggs</v>
      </c>
      <c r="D55" s="178"/>
      <c r="E55" s="179">
        <v>1.0</v>
      </c>
      <c r="K55" s="135">
        <f t="shared" si="11"/>
        <v>23</v>
      </c>
      <c r="L55" s="156" t="str">
        <f t="shared" si="12"/>
        <v>Keith</v>
      </c>
      <c r="M55" s="180">
        <v>1.0</v>
      </c>
      <c r="N55" s="181"/>
      <c r="O55" s="136">
        <v>1.0</v>
      </c>
      <c r="T55" s="132"/>
      <c r="U55" s="7"/>
    </row>
    <row r="56">
      <c r="A56" s="8"/>
      <c r="B56" s="129">
        <f t="shared" si="9"/>
        <v>24</v>
      </c>
      <c r="C56" s="156" t="str">
        <f t="shared" si="10"/>
        <v>Wiggs</v>
      </c>
      <c r="D56" s="178"/>
      <c r="E56" s="179">
        <v>1.0</v>
      </c>
      <c r="K56" s="129">
        <f t="shared" si="11"/>
        <v>24</v>
      </c>
      <c r="L56" s="156" t="str">
        <f t="shared" si="12"/>
        <v>Bello</v>
      </c>
      <c r="M56" s="180">
        <v>1.0</v>
      </c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Boggs</v>
      </c>
      <c r="D57" s="178"/>
      <c r="E57" s="179">
        <v>1.0</v>
      </c>
      <c r="K57" s="129">
        <f t="shared" si="11"/>
        <v>24</v>
      </c>
      <c r="L57" s="156" t="str">
        <f t="shared" si="12"/>
        <v>Keith</v>
      </c>
      <c r="M57" s="178"/>
      <c r="N57" s="179">
        <v>1.0</v>
      </c>
      <c r="T57" s="132"/>
      <c r="U57" s="7"/>
    </row>
    <row r="58">
      <c r="A58" s="14"/>
      <c r="B58" s="135">
        <f t="shared" si="9"/>
        <v>25</v>
      </c>
      <c r="C58" s="156" t="str">
        <f t="shared" si="10"/>
        <v>Wiggs</v>
      </c>
      <c r="D58" s="180">
        <v>1.0</v>
      </c>
      <c r="E58" s="181"/>
      <c r="G58" s="136">
        <v>1.0</v>
      </c>
      <c r="K58" s="135">
        <f t="shared" si="11"/>
        <v>25</v>
      </c>
      <c r="L58" s="156" t="str">
        <f t="shared" si="12"/>
        <v>Bello</v>
      </c>
      <c r="M58" s="180">
        <v>1.0</v>
      </c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Boggs</v>
      </c>
      <c r="D59" s="180">
        <v>1.0</v>
      </c>
      <c r="E59" s="181"/>
      <c r="G59" s="136">
        <v>1.0</v>
      </c>
      <c r="K59" s="129">
        <f t="shared" si="11"/>
        <v>25</v>
      </c>
      <c r="L59" s="156" t="str">
        <f t="shared" si="12"/>
        <v>Keith</v>
      </c>
      <c r="M59" s="180">
        <v>1.0</v>
      </c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Wiggs</v>
      </c>
      <c r="D60" s="180">
        <v>1.0</v>
      </c>
      <c r="E60" s="181"/>
      <c r="K60" s="135">
        <f t="shared" si="11"/>
        <v>26</v>
      </c>
      <c r="L60" s="156" t="str">
        <f t="shared" si="12"/>
        <v>Bello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Boggs</v>
      </c>
      <c r="D61" s="180">
        <v>1.0</v>
      </c>
      <c r="E61" s="181"/>
      <c r="K61" s="129">
        <f t="shared" si="11"/>
        <v>26</v>
      </c>
      <c r="L61" s="156" t="str">
        <f t="shared" si="12"/>
        <v>Keith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Wiggs</v>
      </c>
      <c r="D62" s="178"/>
      <c r="E62" s="179">
        <v>1.0</v>
      </c>
      <c r="K62" s="135">
        <f t="shared" si="11"/>
        <v>27</v>
      </c>
      <c r="L62" s="156" t="str">
        <f t="shared" si="12"/>
        <v>Bello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Boggs</v>
      </c>
      <c r="D63" s="180">
        <v>1.0</v>
      </c>
      <c r="E63" s="181"/>
      <c r="K63" s="129">
        <f t="shared" si="11"/>
        <v>27</v>
      </c>
      <c r="L63" s="156" t="str">
        <f t="shared" si="12"/>
        <v>Keith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Wiggs</v>
      </c>
      <c r="D64" s="178"/>
      <c r="E64" s="181"/>
      <c r="K64" s="135">
        <f t="shared" si="11"/>
        <v>28</v>
      </c>
      <c r="L64" s="156" t="str">
        <f t="shared" si="12"/>
        <v>Bello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Boggs</v>
      </c>
      <c r="D65" s="178"/>
      <c r="E65" s="181"/>
      <c r="K65" s="129">
        <f t="shared" si="11"/>
        <v>28</v>
      </c>
      <c r="L65" s="156" t="str">
        <f t="shared" si="12"/>
        <v>Keith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Wiggs</v>
      </c>
      <c r="D66" s="178"/>
      <c r="E66" s="181"/>
      <c r="K66" s="135">
        <f t="shared" si="11"/>
        <v>29</v>
      </c>
      <c r="L66" s="156" t="str">
        <f t="shared" si="12"/>
        <v>Bello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Boggs</v>
      </c>
      <c r="D67" s="178"/>
      <c r="E67" s="181"/>
      <c r="K67" s="135">
        <f t="shared" si="11"/>
        <v>29</v>
      </c>
      <c r="L67" s="156" t="str">
        <f t="shared" si="12"/>
        <v>Keith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Wiggs</v>
      </c>
      <c r="D68" s="178"/>
      <c r="E68" s="181"/>
      <c r="K68" s="135">
        <f t="shared" si="11"/>
        <v>30</v>
      </c>
      <c r="L68" s="156" t="str">
        <f t="shared" si="12"/>
        <v>Bello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Boggs</v>
      </c>
      <c r="D69" s="178"/>
      <c r="E69" s="181"/>
      <c r="K69" s="135">
        <f t="shared" si="11"/>
        <v>30</v>
      </c>
      <c r="L69" s="156" t="str">
        <f t="shared" si="12"/>
        <v>Keith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Wiggs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Bello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Boggs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Keith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Wiggs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Bello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Boggs</v>
      </c>
      <c r="D73" s="178"/>
      <c r="E73" s="181"/>
      <c r="K73" s="129">
        <v>32.0</v>
      </c>
      <c r="L73" s="156" t="str">
        <f t="shared" si="12"/>
        <v>Keith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Wiggs</v>
      </c>
      <c r="D74" s="192"/>
      <c r="E74" s="181"/>
      <c r="K74" s="129">
        <v>33.0</v>
      </c>
      <c r="L74" s="156" t="str">
        <f t="shared" si="12"/>
        <v>Bello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Boggs</v>
      </c>
      <c r="D75" s="178"/>
      <c r="E75" s="181"/>
      <c r="K75" s="129">
        <v>33.0</v>
      </c>
      <c r="L75" s="156" t="str">
        <f t="shared" si="12"/>
        <v>Keith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Wiggs</v>
      </c>
      <c r="D76" s="178"/>
      <c r="E76" s="181"/>
      <c r="K76" s="129">
        <v>34.0</v>
      </c>
      <c r="L76" s="156" t="str">
        <f t="shared" si="12"/>
        <v>Bello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Boggs</v>
      </c>
      <c r="D77" s="178"/>
      <c r="E77" s="181"/>
      <c r="K77" s="129">
        <v>34.0</v>
      </c>
      <c r="L77" s="156" t="str">
        <f t="shared" si="12"/>
        <v>Keith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Wiggs</v>
      </c>
      <c r="D78" s="178"/>
      <c r="E78" s="181"/>
      <c r="K78" s="129">
        <v>35.0</v>
      </c>
      <c r="L78" s="156" t="str">
        <f t="shared" si="12"/>
        <v>Bello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Boggs</v>
      </c>
      <c r="D79" s="178"/>
      <c r="E79" s="181"/>
      <c r="K79" s="129">
        <v>35.0</v>
      </c>
      <c r="L79" s="156" t="str">
        <f t="shared" si="12"/>
        <v>Keith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Wiggs</v>
      </c>
      <c r="D80" s="178"/>
      <c r="E80" s="181"/>
      <c r="K80" s="129">
        <v>36.0</v>
      </c>
      <c r="L80" s="156" t="str">
        <f t="shared" si="12"/>
        <v>Bello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Boggs</v>
      </c>
      <c r="D81" s="178"/>
      <c r="E81" s="181"/>
      <c r="K81" s="129">
        <v>36.0</v>
      </c>
      <c r="L81" s="156" t="str">
        <f t="shared" si="12"/>
        <v>Keith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Wiggs</v>
      </c>
      <c r="D82" s="178"/>
      <c r="E82" s="181"/>
      <c r="K82" s="129">
        <v>37.0</v>
      </c>
      <c r="L82" s="156" t="str">
        <f t="shared" si="12"/>
        <v>Bello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Boggs</v>
      </c>
      <c r="D83" s="178"/>
      <c r="E83" s="181"/>
      <c r="K83" s="129">
        <v>37.0</v>
      </c>
      <c r="L83" s="156" t="str">
        <f t="shared" si="12"/>
        <v>Keith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Wiggs</v>
      </c>
      <c r="D84" s="178"/>
      <c r="E84" s="181"/>
      <c r="K84" s="129">
        <v>38.0</v>
      </c>
      <c r="L84" s="156" t="str">
        <f t="shared" si="12"/>
        <v>Bello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Boggs</v>
      </c>
      <c r="D85" s="178"/>
      <c r="E85" s="181"/>
      <c r="K85" s="129">
        <v>38.0</v>
      </c>
      <c r="L85" s="156" t="str">
        <f t="shared" si="12"/>
        <v>Keith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Wiggs</v>
      </c>
      <c r="D86" s="178"/>
      <c r="E86" s="181"/>
      <c r="K86" s="129">
        <v>39.0</v>
      </c>
      <c r="L86" s="156" t="str">
        <f t="shared" si="12"/>
        <v>Bello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Boggs</v>
      </c>
      <c r="D87" s="178"/>
      <c r="E87" s="181"/>
      <c r="K87" s="129">
        <v>39.0</v>
      </c>
      <c r="L87" s="156" t="str">
        <f t="shared" si="12"/>
        <v>Keith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Wiggs</v>
      </c>
      <c r="D88" s="178"/>
      <c r="E88" s="181"/>
      <c r="K88" s="129">
        <v>40.0</v>
      </c>
      <c r="L88" s="156" t="str">
        <f t="shared" si="12"/>
        <v>Bello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Boggs</v>
      </c>
      <c r="D89" s="178"/>
      <c r="E89" s="181"/>
      <c r="K89" s="129">
        <v>40.0</v>
      </c>
      <c r="L89" s="156" t="str">
        <f t="shared" si="12"/>
        <v>Keith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118" t="s">
        <v>176</v>
      </c>
      <c r="E2" s="118" t="s">
        <v>177</v>
      </c>
      <c r="F2" s="118" t="s">
        <v>67</v>
      </c>
      <c r="G2" s="118" t="s">
        <v>68</v>
      </c>
      <c r="H2" s="119" t="s">
        <v>69</v>
      </c>
      <c r="I2" s="119" t="s">
        <v>70</v>
      </c>
      <c r="J2" s="120" t="s">
        <v>72</v>
      </c>
      <c r="K2" s="121"/>
      <c r="L2" s="122"/>
      <c r="M2" s="118" t="s">
        <v>176</v>
      </c>
      <c r="N2" s="118" t="s">
        <v>177</v>
      </c>
      <c r="O2" s="118" t="s">
        <v>67</v>
      </c>
      <c r="P2" s="118" t="s">
        <v>68</v>
      </c>
      <c r="Q2" s="119" t="s">
        <v>69</v>
      </c>
      <c r="R2" s="120" t="s">
        <v>70</v>
      </c>
      <c r="S2" s="123" t="s">
        <v>72</v>
      </c>
      <c r="T2" s="124"/>
      <c r="U2" s="7"/>
    </row>
    <row r="3">
      <c r="A3" s="125"/>
      <c r="B3" s="126" t="s">
        <v>178</v>
      </c>
      <c r="C3" s="127" t="s">
        <v>128</v>
      </c>
      <c r="D3" s="189">
        <f t="shared" ref="D3:J3" si="1">SUMPRODUCT(D10:D90,MOD(ROW(D10:D90),2)=0)</f>
        <v>23</v>
      </c>
      <c r="E3" s="189">
        <f t="shared" si="1"/>
        <v>6</v>
      </c>
      <c r="F3" s="189">
        <f t="shared" si="1"/>
        <v>0</v>
      </c>
      <c r="G3" s="189">
        <f t="shared" si="1"/>
        <v>3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115</v>
      </c>
      <c r="M3" s="189">
        <f t="shared" ref="M3:S3" si="2">SUMPRODUCT(M10:M90,MOD(ROW(M10:M90),2)=0)</f>
        <v>23</v>
      </c>
      <c r="N3" s="189">
        <f t="shared" si="2"/>
        <v>6</v>
      </c>
      <c r="O3" s="189">
        <f t="shared" si="2"/>
        <v>1</v>
      </c>
      <c r="P3" s="189">
        <f t="shared" si="2"/>
        <v>2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122</v>
      </c>
      <c r="D4" s="191">
        <f t="shared" ref="D4:J4" si="3">SUMPRODUCT(D10:D90,MOD(ROW(D10:D90),2))</f>
        <v>25</v>
      </c>
      <c r="E4" s="191">
        <f t="shared" si="3"/>
        <v>4</v>
      </c>
      <c r="F4" s="191">
        <f t="shared" si="3"/>
        <v>0</v>
      </c>
      <c r="G4" s="191">
        <f t="shared" si="3"/>
        <v>6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137</v>
      </c>
      <c r="M4" s="191">
        <f t="shared" ref="M4:S4" si="4">SUMPRODUCT(M10:M90,MOD(ROW(M10:M90),2))</f>
        <v>27</v>
      </c>
      <c r="N4" s="191">
        <f t="shared" si="4"/>
        <v>2</v>
      </c>
      <c r="O4" s="191">
        <f t="shared" si="4"/>
        <v>4</v>
      </c>
      <c r="P4" s="191">
        <f t="shared" si="4"/>
        <v>3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Ravulapati %</v>
      </c>
      <c r="D5" s="137">
        <f t="shared" ref="D5:D6" si="6">IFERROR((E3/(E3+D3)),0)</f>
        <v>0.2068965517</v>
      </c>
      <c r="K5" s="135"/>
      <c r="L5" s="136" t="str">
        <f t="shared" ref="L5:L6" si="7">IFERROR((L10 &amp;" %"), "")</f>
        <v> Dignazio %</v>
      </c>
      <c r="M5" s="137">
        <f t="shared" ref="M5:M6" si="8">IFERROR((N3/(N3+M3)),0)</f>
        <v>0.2068965517</v>
      </c>
      <c r="S5" s="132"/>
      <c r="T5" s="132"/>
      <c r="U5" s="7"/>
    </row>
    <row r="6">
      <c r="A6" s="14"/>
      <c r="B6" s="138"/>
      <c r="C6" s="139" t="str">
        <f t="shared" si="5"/>
        <v> Schoenfeld %</v>
      </c>
      <c r="D6" s="140">
        <f t="shared" si="6"/>
        <v>0.1379310345</v>
      </c>
      <c r="E6" s="141"/>
      <c r="F6" s="141"/>
      <c r="G6" s="141"/>
      <c r="H6" s="141"/>
      <c r="I6" s="141"/>
      <c r="J6" s="141"/>
      <c r="K6" s="138"/>
      <c r="L6" s="139" t="str">
        <f t="shared" si="7"/>
        <v> Mann %</v>
      </c>
      <c r="M6" s="142">
        <f t="shared" si="8"/>
        <v>0.06896551724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Ravulapati")</f>
        <v> Ravulapati</v>
      </c>
      <c r="D10" s="200">
        <v>1.0</v>
      </c>
      <c r="E10" s="205"/>
      <c r="F10" s="199"/>
      <c r="G10" s="199"/>
      <c r="H10" s="177"/>
      <c r="I10" s="177"/>
      <c r="K10" s="129">
        <v>1.0</v>
      </c>
      <c r="L10" s="136" t="str">
        <f>IFERROR(__xludf.DUMMYFUNCTION("REGEXEXTRACT(L3, ""( .*)+"")")," Dignazio")</f>
        <v> Dignazio</v>
      </c>
      <c r="M10" s="200">
        <v>1.0</v>
      </c>
      <c r="N10" s="201"/>
      <c r="O10" s="177"/>
      <c r="P10" s="199"/>
      <c r="Q10" s="177"/>
      <c r="R10" s="177"/>
      <c r="T10" s="132"/>
      <c r="U10" s="7"/>
    </row>
    <row r="11">
      <c r="A11" s="8"/>
      <c r="B11" s="129">
        <v>1.0</v>
      </c>
      <c r="C11" s="136" t="str">
        <f>IFERROR(__xludf.DUMMYFUNCTION("REGEXEXTRACT(C4, ""( .*)+"")")," Schoenfeld")</f>
        <v> Schoenfeld</v>
      </c>
      <c r="D11" s="208"/>
      <c r="E11" s="207">
        <v>1.0</v>
      </c>
      <c r="F11" s="177"/>
      <c r="G11" s="177"/>
      <c r="H11" s="177"/>
      <c r="I11" s="177"/>
      <c r="K11" s="129">
        <v>1.0</v>
      </c>
      <c r="L11" s="136" t="str">
        <f>IFERROR(__xludf.DUMMYFUNCTION("REGEXEXTRACT(L4, ""( .*)+"")")," Mann")</f>
        <v> Mann</v>
      </c>
      <c r="M11" s="202">
        <v>1.0</v>
      </c>
      <c r="N11" s="203"/>
      <c r="O11" s="177"/>
      <c r="P11" s="177"/>
      <c r="Q11" s="177"/>
      <c r="R11" s="177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Ravulapati</v>
      </c>
      <c r="D12" s="208"/>
      <c r="E12" s="207">
        <v>1.0</v>
      </c>
      <c r="F12" s="177"/>
      <c r="G12" s="177"/>
      <c r="H12" s="177"/>
      <c r="I12" s="177"/>
      <c r="K12" s="129">
        <f t="shared" ref="K12:K69" si="11">K10+1</f>
        <v>2</v>
      </c>
      <c r="L12" s="156" t="str">
        <f t="shared" ref="L12:L89" si="12">L10</f>
        <v> Dignazio</v>
      </c>
      <c r="M12" s="197"/>
      <c r="N12" s="198">
        <v>1.0</v>
      </c>
      <c r="O12" s="177"/>
      <c r="P12" s="177"/>
      <c r="Q12" s="177"/>
      <c r="R12" s="177"/>
      <c r="T12" s="132"/>
      <c r="U12" s="7"/>
    </row>
    <row r="13">
      <c r="A13" s="14"/>
      <c r="B13" s="135">
        <f t="shared" si="9"/>
        <v>2</v>
      </c>
      <c r="C13" s="156" t="str">
        <f t="shared" si="10"/>
        <v> Schoenfeld</v>
      </c>
      <c r="D13" s="200">
        <v>1.0</v>
      </c>
      <c r="E13" s="201"/>
      <c r="F13" s="177"/>
      <c r="G13" s="191"/>
      <c r="H13" s="177"/>
      <c r="I13" s="177"/>
      <c r="K13" s="135">
        <f t="shared" si="11"/>
        <v>2</v>
      </c>
      <c r="L13" s="156" t="str">
        <f t="shared" si="12"/>
        <v> Mann</v>
      </c>
      <c r="M13" s="202">
        <v>1.0</v>
      </c>
      <c r="N13" s="188"/>
      <c r="O13" s="177"/>
      <c r="P13" s="177"/>
      <c r="Q13" s="177"/>
      <c r="R13" s="177"/>
      <c r="T13" s="132"/>
      <c r="U13" s="7"/>
    </row>
    <row r="14">
      <c r="A14" s="8"/>
      <c r="B14" s="129">
        <f t="shared" si="9"/>
        <v>3</v>
      </c>
      <c r="C14" s="156" t="str">
        <f t="shared" si="10"/>
        <v> Ravulapati</v>
      </c>
      <c r="D14" s="202">
        <v>1.0</v>
      </c>
      <c r="E14" s="203"/>
      <c r="F14" s="177"/>
      <c r="G14" s="177"/>
      <c r="H14" s="177"/>
      <c r="I14" s="177"/>
      <c r="K14" s="129">
        <f t="shared" si="11"/>
        <v>3</v>
      </c>
      <c r="L14" s="156" t="str">
        <f t="shared" si="12"/>
        <v> Dignazio</v>
      </c>
      <c r="M14" s="202">
        <v>1.0</v>
      </c>
      <c r="N14" s="188"/>
      <c r="O14" s="177"/>
      <c r="P14" s="177"/>
      <c r="Q14" s="177"/>
      <c r="R14" s="177"/>
      <c r="T14" s="132"/>
      <c r="U14" s="7"/>
    </row>
    <row r="15">
      <c r="A15" s="14"/>
      <c r="B15" s="135">
        <f t="shared" si="9"/>
        <v>3</v>
      </c>
      <c r="C15" s="156" t="str">
        <f t="shared" si="10"/>
        <v> Schoenfeld</v>
      </c>
      <c r="D15" s="200">
        <v>1.0</v>
      </c>
      <c r="E15" s="201"/>
      <c r="F15" s="177"/>
      <c r="G15" s="177"/>
      <c r="H15" s="177"/>
      <c r="I15" s="177"/>
      <c r="K15" s="135">
        <f t="shared" si="11"/>
        <v>3</v>
      </c>
      <c r="L15" s="156" t="str">
        <f t="shared" si="12"/>
        <v> Mann</v>
      </c>
      <c r="M15" s="200">
        <v>1.0</v>
      </c>
      <c r="N15" s="198"/>
      <c r="O15" s="177"/>
      <c r="P15" s="177"/>
      <c r="Q15" s="177"/>
      <c r="R15" s="177"/>
      <c r="T15" s="132"/>
      <c r="U15" s="7"/>
    </row>
    <row r="16">
      <c r="A16" s="8"/>
      <c r="B16" s="129">
        <f t="shared" si="9"/>
        <v>4</v>
      </c>
      <c r="C16" s="156" t="str">
        <f t="shared" si="10"/>
        <v> Ravulapati</v>
      </c>
      <c r="D16" s="200">
        <v>1.0</v>
      </c>
      <c r="E16" s="205"/>
      <c r="F16" s="177"/>
      <c r="G16" s="177"/>
      <c r="H16" s="177"/>
      <c r="I16" s="177"/>
      <c r="K16" s="129">
        <f t="shared" si="11"/>
        <v>4</v>
      </c>
      <c r="L16" s="156" t="str">
        <f t="shared" si="12"/>
        <v> Dignazio</v>
      </c>
      <c r="M16" s="200"/>
      <c r="N16" s="198">
        <v>1.0</v>
      </c>
      <c r="O16" s="177"/>
      <c r="P16" s="177"/>
      <c r="Q16" s="177"/>
      <c r="R16" s="177"/>
      <c r="T16" s="132"/>
      <c r="U16" s="7"/>
    </row>
    <row r="17">
      <c r="A17" s="14"/>
      <c r="B17" s="135">
        <f t="shared" si="9"/>
        <v>4</v>
      </c>
      <c r="C17" s="156" t="str">
        <f t="shared" si="10"/>
        <v> Schoenfeld</v>
      </c>
      <c r="D17" s="200">
        <v>1.0</v>
      </c>
      <c r="E17" s="201"/>
      <c r="F17" s="177"/>
      <c r="G17" s="127">
        <v>1.0</v>
      </c>
      <c r="H17" s="177"/>
      <c r="I17" s="177"/>
      <c r="K17" s="135">
        <f t="shared" si="11"/>
        <v>4</v>
      </c>
      <c r="L17" s="156" t="str">
        <f t="shared" si="12"/>
        <v> Mann</v>
      </c>
      <c r="M17" s="202">
        <v>1.0</v>
      </c>
      <c r="N17" s="203"/>
      <c r="O17" s="127">
        <v>1.0</v>
      </c>
      <c r="P17" s="177"/>
      <c r="Q17" s="177"/>
      <c r="R17" s="177"/>
      <c r="T17" s="132"/>
      <c r="U17" s="7"/>
    </row>
    <row r="18">
      <c r="A18" s="8"/>
      <c r="B18" s="129">
        <f t="shared" si="9"/>
        <v>5</v>
      </c>
      <c r="C18" s="156" t="str">
        <f t="shared" si="10"/>
        <v> Ravulapati</v>
      </c>
      <c r="D18" s="197"/>
      <c r="E18" s="198">
        <v>1.0</v>
      </c>
      <c r="F18" s="177"/>
      <c r="G18" s="191"/>
      <c r="H18" s="177"/>
      <c r="I18" s="177"/>
      <c r="K18" s="129">
        <f t="shared" si="11"/>
        <v>5</v>
      </c>
      <c r="L18" s="156" t="str">
        <f t="shared" si="12"/>
        <v> Dignazio</v>
      </c>
      <c r="M18" s="197"/>
      <c r="N18" s="198">
        <v>1.0</v>
      </c>
      <c r="O18" s="177"/>
      <c r="P18" s="177"/>
      <c r="Q18" s="177"/>
      <c r="R18" s="177"/>
      <c r="T18" s="132"/>
      <c r="U18" s="7"/>
    </row>
    <row r="19">
      <c r="A19" s="14"/>
      <c r="B19" s="135">
        <f t="shared" si="9"/>
        <v>5</v>
      </c>
      <c r="C19" s="156" t="str">
        <f t="shared" si="10"/>
        <v> Schoenfeld</v>
      </c>
      <c r="D19" s="200">
        <v>1.0</v>
      </c>
      <c r="E19" s="205"/>
      <c r="F19" s="177"/>
      <c r="G19" s="177"/>
      <c r="H19" s="177"/>
      <c r="I19" s="177"/>
      <c r="K19" s="135">
        <f t="shared" si="11"/>
        <v>5</v>
      </c>
      <c r="L19" s="156" t="str">
        <f t="shared" si="12"/>
        <v> Mann</v>
      </c>
      <c r="M19" s="202">
        <v>1.0</v>
      </c>
      <c r="N19" s="203"/>
      <c r="O19" s="177"/>
      <c r="P19" s="177"/>
      <c r="Q19" s="177"/>
      <c r="R19" s="177"/>
      <c r="T19" s="132"/>
      <c r="U19" s="7"/>
    </row>
    <row r="20">
      <c r="A20" s="8"/>
      <c r="B20" s="129">
        <f t="shared" si="9"/>
        <v>6</v>
      </c>
      <c r="C20" s="156" t="str">
        <f t="shared" si="10"/>
        <v> Ravulapati</v>
      </c>
      <c r="D20" s="200">
        <v>1.0</v>
      </c>
      <c r="E20" s="201"/>
      <c r="F20" s="177"/>
      <c r="G20" s="177"/>
      <c r="H20" s="177"/>
      <c r="I20" s="177"/>
      <c r="K20" s="129">
        <f t="shared" si="11"/>
        <v>6</v>
      </c>
      <c r="L20" s="156" t="str">
        <f t="shared" si="12"/>
        <v> Dignazio</v>
      </c>
      <c r="M20" s="200">
        <v>1.0</v>
      </c>
      <c r="N20" s="205"/>
      <c r="O20" s="177"/>
      <c r="P20" s="177"/>
      <c r="Q20" s="177"/>
      <c r="R20" s="177"/>
      <c r="T20" s="132"/>
      <c r="U20" s="7"/>
    </row>
    <row r="21">
      <c r="A21" s="14"/>
      <c r="B21" s="135">
        <f t="shared" si="9"/>
        <v>6</v>
      </c>
      <c r="C21" s="156" t="str">
        <f t="shared" si="10"/>
        <v> Schoenfeld</v>
      </c>
      <c r="D21" s="200">
        <v>1.0</v>
      </c>
      <c r="E21" s="205"/>
      <c r="F21" s="177"/>
      <c r="G21" s="177"/>
      <c r="H21" s="177"/>
      <c r="I21" s="177"/>
      <c r="K21" s="135">
        <f t="shared" si="11"/>
        <v>6</v>
      </c>
      <c r="L21" s="156" t="str">
        <f t="shared" si="12"/>
        <v> Mann</v>
      </c>
      <c r="M21" s="200">
        <v>1.0</v>
      </c>
      <c r="N21" s="205"/>
      <c r="O21" s="177"/>
      <c r="P21" s="177"/>
      <c r="Q21" s="177"/>
      <c r="R21" s="177"/>
      <c r="T21" s="132"/>
      <c r="U21" s="7"/>
    </row>
    <row r="22">
      <c r="A22" s="8"/>
      <c r="B22" s="129">
        <f t="shared" si="9"/>
        <v>7</v>
      </c>
      <c r="C22" s="156" t="str">
        <f t="shared" si="10"/>
        <v> Ravulapati</v>
      </c>
      <c r="D22" s="202">
        <v>1.0</v>
      </c>
      <c r="E22" s="188"/>
      <c r="F22" s="177"/>
      <c r="G22" s="127">
        <v>1.0</v>
      </c>
      <c r="H22" s="177"/>
      <c r="I22" s="177"/>
      <c r="K22" s="129">
        <f t="shared" si="11"/>
        <v>7</v>
      </c>
      <c r="L22" s="156" t="str">
        <f t="shared" si="12"/>
        <v> Dignazio</v>
      </c>
      <c r="M22" s="197"/>
      <c r="N22" s="198">
        <v>1.0</v>
      </c>
      <c r="O22" s="177"/>
      <c r="P22" s="177"/>
      <c r="Q22" s="177"/>
      <c r="R22" s="177"/>
      <c r="T22" s="132"/>
      <c r="U22" s="7"/>
    </row>
    <row r="23">
      <c r="A23" s="14"/>
      <c r="B23" s="135">
        <f t="shared" si="9"/>
        <v>7</v>
      </c>
      <c r="C23" s="156" t="str">
        <f t="shared" si="10"/>
        <v> Schoenfeld</v>
      </c>
      <c r="D23" s="197"/>
      <c r="E23" s="198">
        <v>1.0</v>
      </c>
      <c r="F23" s="177"/>
      <c r="G23" s="177"/>
      <c r="H23" s="177"/>
      <c r="I23" s="177"/>
      <c r="K23" s="135">
        <f t="shared" si="11"/>
        <v>7</v>
      </c>
      <c r="L23" s="156" t="str">
        <f t="shared" si="12"/>
        <v> Mann</v>
      </c>
      <c r="M23" s="200">
        <v>1.0</v>
      </c>
      <c r="N23" s="205"/>
      <c r="O23" s="177"/>
      <c r="P23" s="177"/>
      <c r="Q23" s="177"/>
      <c r="R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 Ravulapati</v>
      </c>
      <c r="D24" s="200">
        <v>1.0</v>
      </c>
      <c r="E24" s="205"/>
      <c r="F24" s="177"/>
      <c r="G24" s="177"/>
      <c r="H24" s="177"/>
      <c r="I24" s="177"/>
      <c r="K24" s="129">
        <f t="shared" si="11"/>
        <v>8</v>
      </c>
      <c r="L24" s="156" t="str">
        <f t="shared" si="12"/>
        <v> Dignazio</v>
      </c>
      <c r="M24" s="208"/>
      <c r="N24" s="207">
        <v>1.0</v>
      </c>
      <c r="O24" s="177"/>
      <c r="P24" s="177"/>
      <c r="Q24" s="177"/>
      <c r="R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 Schoenfeld</v>
      </c>
      <c r="D25" s="202">
        <v>1.0</v>
      </c>
      <c r="E25" s="188"/>
      <c r="F25" s="177"/>
      <c r="G25" s="177"/>
      <c r="H25" s="177"/>
      <c r="I25" s="177"/>
      <c r="K25" s="135">
        <f t="shared" si="11"/>
        <v>8</v>
      </c>
      <c r="L25" s="156" t="str">
        <f t="shared" si="12"/>
        <v> Mann</v>
      </c>
      <c r="M25" s="202">
        <v>1.0</v>
      </c>
      <c r="N25" s="203"/>
      <c r="O25" s="177"/>
      <c r="P25" s="177"/>
      <c r="Q25" s="177"/>
      <c r="R25" s="177"/>
      <c r="T25" s="132"/>
      <c r="U25" s="7"/>
    </row>
    <row r="26">
      <c r="A26" s="8"/>
      <c r="B26" s="129">
        <f t="shared" si="9"/>
        <v>9</v>
      </c>
      <c r="C26" s="156" t="str">
        <f t="shared" si="10"/>
        <v> Ravulapati</v>
      </c>
      <c r="D26" s="202">
        <v>1.0</v>
      </c>
      <c r="E26" s="188"/>
      <c r="F26" s="177"/>
      <c r="G26" s="177"/>
      <c r="H26" s="177"/>
      <c r="I26" s="177"/>
      <c r="K26" s="129">
        <f t="shared" si="11"/>
        <v>9</v>
      </c>
      <c r="L26" s="156" t="str">
        <f t="shared" si="12"/>
        <v> Dignazio</v>
      </c>
      <c r="M26" s="200">
        <v>1.0</v>
      </c>
      <c r="N26" s="205"/>
      <c r="O26" s="177"/>
      <c r="P26" s="177"/>
      <c r="Q26" s="177"/>
      <c r="R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 Schoenfeld</v>
      </c>
      <c r="D27" s="202">
        <v>1.0</v>
      </c>
      <c r="E27" s="188"/>
      <c r="F27" s="177"/>
      <c r="G27" s="177"/>
      <c r="H27" s="177"/>
      <c r="I27" s="177"/>
      <c r="K27" s="135">
        <f t="shared" si="11"/>
        <v>9</v>
      </c>
      <c r="L27" s="156" t="str">
        <f t="shared" si="12"/>
        <v> Mann</v>
      </c>
      <c r="M27" s="200">
        <v>1.0</v>
      </c>
      <c r="N27" s="205"/>
      <c r="O27" s="177"/>
      <c r="P27" s="127">
        <v>1.0</v>
      </c>
      <c r="Q27" s="177"/>
      <c r="R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 Ravulapati</v>
      </c>
      <c r="D28" s="197"/>
      <c r="E28" s="198">
        <v>1.0</v>
      </c>
      <c r="F28" s="177"/>
      <c r="G28" s="191"/>
      <c r="H28" s="177"/>
      <c r="I28" s="177"/>
      <c r="K28" s="129">
        <f t="shared" si="11"/>
        <v>10</v>
      </c>
      <c r="L28" s="156" t="str">
        <f t="shared" si="12"/>
        <v> Dignazio</v>
      </c>
      <c r="M28" s="200">
        <v>1.0</v>
      </c>
      <c r="N28" s="205"/>
      <c r="O28" s="177"/>
      <c r="P28" s="177"/>
      <c r="Q28" s="177"/>
      <c r="R28" s="177"/>
      <c r="T28" s="132"/>
      <c r="U28" s="7"/>
    </row>
    <row r="29">
      <c r="A29" s="14"/>
      <c r="B29" s="135">
        <f t="shared" si="9"/>
        <v>10</v>
      </c>
      <c r="C29" s="156" t="str">
        <f t="shared" si="10"/>
        <v> Schoenfeld</v>
      </c>
      <c r="D29" s="200">
        <v>1.0</v>
      </c>
      <c r="E29" s="205"/>
      <c r="F29" s="177"/>
      <c r="G29" s="177"/>
      <c r="H29" s="177"/>
      <c r="I29" s="177"/>
      <c r="K29" s="135">
        <f t="shared" si="11"/>
        <v>10</v>
      </c>
      <c r="L29" s="156" t="str">
        <f t="shared" si="12"/>
        <v> Mann</v>
      </c>
      <c r="M29" s="200">
        <v>1.0</v>
      </c>
      <c r="N29" s="205"/>
      <c r="O29" s="177"/>
      <c r="P29" s="177"/>
      <c r="Q29" s="177"/>
      <c r="R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 Ravulapati</v>
      </c>
      <c r="D30" s="200">
        <v>1.0</v>
      </c>
      <c r="E30" s="205"/>
      <c r="F30" s="177"/>
      <c r="G30" s="177"/>
      <c r="H30" s="177"/>
      <c r="I30" s="177"/>
      <c r="K30" s="129">
        <f t="shared" si="11"/>
        <v>11</v>
      </c>
      <c r="L30" s="156" t="str">
        <f t="shared" si="12"/>
        <v> Dignazio</v>
      </c>
      <c r="M30" s="200">
        <v>1.0</v>
      </c>
      <c r="N30" s="205"/>
      <c r="O30" s="177"/>
      <c r="P30" s="177"/>
      <c r="Q30" s="177"/>
      <c r="R30" s="177"/>
      <c r="T30" s="132"/>
      <c r="U30" s="7"/>
    </row>
    <row r="31">
      <c r="A31" s="14"/>
      <c r="B31" s="135">
        <f t="shared" si="9"/>
        <v>11</v>
      </c>
      <c r="C31" s="156" t="str">
        <f t="shared" si="10"/>
        <v> Schoenfeld</v>
      </c>
      <c r="D31" s="200">
        <v>1.0</v>
      </c>
      <c r="E31" s="205"/>
      <c r="F31" s="177"/>
      <c r="G31" s="177"/>
      <c r="H31" s="177"/>
      <c r="I31" s="177"/>
      <c r="K31" s="135">
        <f t="shared" si="11"/>
        <v>11</v>
      </c>
      <c r="L31" s="156" t="str">
        <f t="shared" si="12"/>
        <v> Mann</v>
      </c>
      <c r="M31" s="202">
        <v>1.0</v>
      </c>
      <c r="N31" s="203"/>
      <c r="O31" s="177"/>
      <c r="P31" s="177"/>
      <c r="Q31" s="177"/>
      <c r="R31" s="177"/>
      <c r="T31" s="132"/>
      <c r="U31" s="7"/>
    </row>
    <row r="32">
      <c r="A32" s="8"/>
      <c r="B32" s="129">
        <f t="shared" si="9"/>
        <v>12</v>
      </c>
      <c r="C32" s="156" t="str">
        <f t="shared" si="10"/>
        <v> Ravulapati</v>
      </c>
      <c r="D32" s="200">
        <v>1.0</v>
      </c>
      <c r="E32" s="205"/>
      <c r="F32" s="177"/>
      <c r="G32" s="127">
        <v>1.0</v>
      </c>
      <c r="H32" s="177"/>
      <c r="I32" s="177"/>
      <c r="K32" s="129">
        <f t="shared" si="11"/>
        <v>12</v>
      </c>
      <c r="L32" s="156" t="str">
        <f t="shared" si="12"/>
        <v> Dignazio</v>
      </c>
      <c r="M32" s="200">
        <v>1.0</v>
      </c>
      <c r="N32" s="205"/>
      <c r="O32" s="177"/>
      <c r="P32" s="177"/>
      <c r="Q32" s="177"/>
      <c r="R32" s="177"/>
      <c r="T32" s="132"/>
      <c r="U32" s="7"/>
    </row>
    <row r="33">
      <c r="A33" s="14"/>
      <c r="B33" s="135">
        <f t="shared" si="9"/>
        <v>12</v>
      </c>
      <c r="C33" s="156" t="str">
        <f t="shared" si="10"/>
        <v> Schoenfeld</v>
      </c>
      <c r="D33" s="197"/>
      <c r="E33" s="198">
        <v>1.0</v>
      </c>
      <c r="F33" s="177"/>
      <c r="G33" s="177"/>
      <c r="H33" s="177"/>
      <c r="I33" s="177"/>
      <c r="K33" s="135">
        <f t="shared" si="11"/>
        <v>12</v>
      </c>
      <c r="L33" s="156" t="str">
        <f t="shared" si="12"/>
        <v> Mann</v>
      </c>
      <c r="M33" s="200">
        <v>1.0</v>
      </c>
      <c r="N33" s="201"/>
      <c r="O33" s="177"/>
      <c r="P33" s="177"/>
      <c r="Q33" s="177"/>
      <c r="R33" s="177"/>
      <c r="T33" s="132"/>
      <c r="U33" s="7"/>
    </row>
    <row r="34">
      <c r="A34" s="8"/>
      <c r="B34" s="129">
        <f t="shared" si="9"/>
        <v>13</v>
      </c>
      <c r="C34" s="156" t="str">
        <f t="shared" si="10"/>
        <v> Ravulapati</v>
      </c>
      <c r="D34" s="200">
        <v>1.0</v>
      </c>
      <c r="E34" s="205"/>
      <c r="F34" s="177"/>
      <c r="G34" s="177"/>
      <c r="H34" s="177"/>
      <c r="I34" s="177"/>
      <c r="K34" s="129">
        <f t="shared" si="11"/>
        <v>13</v>
      </c>
      <c r="L34" s="156" t="str">
        <f t="shared" si="12"/>
        <v> Dignazio</v>
      </c>
      <c r="M34" s="202">
        <v>1.0</v>
      </c>
      <c r="N34" s="188"/>
      <c r="O34" s="177"/>
      <c r="P34" s="177"/>
      <c r="Q34" s="177"/>
      <c r="R34" s="177"/>
      <c r="T34" s="132"/>
      <c r="U34" s="7"/>
    </row>
    <row r="35">
      <c r="A35" s="14"/>
      <c r="B35" s="135">
        <f t="shared" si="9"/>
        <v>13</v>
      </c>
      <c r="C35" s="156" t="str">
        <f t="shared" si="10"/>
        <v> Schoenfeld</v>
      </c>
      <c r="D35" s="202">
        <v>1.0</v>
      </c>
      <c r="E35" s="188"/>
      <c r="F35" s="177"/>
      <c r="G35" s="177"/>
      <c r="H35" s="177"/>
      <c r="I35" s="177"/>
      <c r="K35" s="135">
        <f t="shared" si="11"/>
        <v>13</v>
      </c>
      <c r="L35" s="156" t="str">
        <f t="shared" si="12"/>
        <v> Mann</v>
      </c>
      <c r="M35" s="197"/>
      <c r="N35" s="198">
        <v>1.0</v>
      </c>
      <c r="O35" s="177"/>
      <c r="P35" s="177"/>
      <c r="Q35" s="177"/>
      <c r="R35" s="177"/>
      <c r="T35" s="132"/>
      <c r="U35" s="7"/>
    </row>
    <row r="36">
      <c r="A36" s="8"/>
      <c r="B36" s="129">
        <f t="shared" si="9"/>
        <v>14</v>
      </c>
      <c r="C36" s="156" t="str">
        <f t="shared" si="10"/>
        <v> Ravulapati</v>
      </c>
      <c r="D36" s="208"/>
      <c r="E36" s="198">
        <v>1.0</v>
      </c>
      <c r="F36" s="177"/>
      <c r="G36" s="177"/>
      <c r="H36" s="177"/>
      <c r="I36" s="177"/>
      <c r="K36" s="129">
        <f t="shared" si="11"/>
        <v>14</v>
      </c>
      <c r="L36" s="156" t="str">
        <f t="shared" si="12"/>
        <v> Dignazio</v>
      </c>
      <c r="M36" s="208"/>
      <c r="N36" s="198">
        <v>1.0</v>
      </c>
      <c r="O36" s="177"/>
      <c r="P36" s="177"/>
      <c r="Q36" s="177"/>
      <c r="R36" s="177"/>
      <c r="T36" s="132"/>
      <c r="U36" s="7"/>
    </row>
    <row r="37">
      <c r="A37" s="14"/>
      <c r="B37" s="135">
        <f t="shared" si="9"/>
        <v>14</v>
      </c>
      <c r="C37" s="156" t="str">
        <f t="shared" si="10"/>
        <v> Schoenfeld</v>
      </c>
      <c r="D37" s="208"/>
      <c r="E37" s="207">
        <v>1.0</v>
      </c>
      <c r="F37" s="177"/>
      <c r="G37" s="177"/>
      <c r="H37" s="177"/>
      <c r="I37" s="177"/>
      <c r="K37" s="135">
        <f t="shared" si="11"/>
        <v>14</v>
      </c>
      <c r="L37" s="156" t="str">
        <f t="shared" si="12"/>
        <v> Mann</v>
      </c>
      <c r="M37" s="208"/>
      <c r="N37" s="207">
        <v>1.0</v>
      </c>
      <c r="O37" s="177"/>
      <c r="P37" s="177"/>
      <c r="Q37" s="177"/>
      <c r="R37" s="177"/>
      <c r="T37" s="132"/>
      <c r="U37" s="7"/>
    </row>
    <row r="38">
      <c r="A38" s="8"/>
      <c r="B38" s="129">
        <f t="shared" si="9"/>
        <v>15</v>
      </c>
      <c r="C38" s="156" t="str">
        <f t="shared" si="10"/>
        <v> Ravulapati</v>
      </c>
      <c r="D38" s="202">
        <v>1.0</v>
      </c>
      <c r="E38" s="205"/>
      <c r="F38" s="177"/>
      <c r="G38" s="127"/>
      <c r="H38" s="177"/>
      <c r="I38" s="177"/>
      <c r="K38" s="129">
        <f t="shared" si="11"/>
        <v>15</v>
      </c>
      <c r="L38" s="156" t="str">
        <f t="shared" si="12"/>
        <v> Dignazio</v>
      </c>
      <c r="M38" s="202">
        <v>1.0</v>
      </c>
      <c r="N38" s="198"/>
      <c r="O38" s="177"/>
      <c r="P38" s="177"/>
      <c r="Q38" s="177"/>
      <c r="R38" s="177"/>
      <c r="T38" s="132"/>
      <c r="U38" s="7"/>
    </row>
    <row r="39">
      <c r="A39" s="14"/>
      <c r="B39" s="135">
        <f t="shared" si="9"/>
        <v>15</v>
      </c>
      <c r="C39" s="156" t="str">
        <f t="shared" si="10"/>
        <v> Schoenfeld</v>
      </c>
      <c r="D39" s="200">
        <v>1.0</v>
      </c>
      <c r="E39" s="205"/>
      <c r="F39" s="177"/>
      <c r="G39" s="127">
        <v>1.0</v>
      </c>
      <c r="H39" s="177"/>
      <c r="I39" s="177"/>
      <c r="K39" s="135">
        <f t="shared" si="11"/>
        <v>15</v>
      </c>
      <c r="L39" s="156" t="str">
        <f t="shared" si="12"/>
        <v> Mann</v>
      </c>
      <c r="M39" s="202">
        <v>1.0</v>
      </c>
      <c r="N39" s="205"/>
      <c r="O39" s="177"/>
      <c r="P39" s="177"/>
      <c r="Q39" s="177"/>
      <c r="R39" s="177"/>
      <c r="T39" s="132"/>
      <c r="U39" s="7"/>
    </row>
    <row r="40">
      <c r="A40" s="8"/>
      <c r="B40" s="129">
        <f t="shared" si="9"/>
        <v>16</v>
      </c>
      <c r="C40" s="156" t="str">
        <f t="shared" si="10"/>
        <v> Ravulapati</v>
      </c>
      <c r="D40" s="180">
        <v>1.0</v>
      </c>
      <c r="E40" s="179"/>
      <c r="F40" s="177"/>
      <c r="G40" s="177"/>
      <c r="H40" s="177"/>
      <c r="I40" s="177"/>
      <c r="K40" s="129">
        <f t="shared" si="11"/>
        <v>16</v>
      </c>
      <c r="L40" s="156" t="str">
        <f t="shared" si="12"/>
        <v> Dignazio</v>
      </c>
      <c r="M40" s="202">
        <v>1.0</v>
      </c>
      <c r="N40" s="205"/>
      <c r="O40" s="177"/>
      <c r="P40" s="177"/>
      <c r="Q40" s="177"/>
      <c r="R40" s="177"/>
      <c r="T40" s="132"/>
      <c r="U40" s="7"/>
    </row>
    <row r="41">
      <c r="A41" s="14"/>
      <c r="B41" s="135">
        <f t="shared" si="9"/>
        <v>16</v>
      </c>
      <c r="C41" s="156" t="str">
        <f t="shared" si="10"/>
        <v> Schoenfeld</v>
      </c>
      <c r="D41" s="180">
        <v>1.0</v>
      </c>
      <c r="E41" s="181"/>
      <c r="F41" s="177"/>
      <c r="G41" s="177"/>
      <c r="H41" s="177"/>
      <c r="I41" s="177"/>
      <c r="K41" s="135">
        <f t="shared" si="11"/>
        <v>16</v>
      </c>
      <c r="L41" s="156" t="str">
        <f t="shared" si="12"/>
        <v> Mann</v>
      </c>
      <c r="M41" s="202">
        <v>1.0</v>
      </c>
      <c r="N41" s="201"/>
      <c r="O41" s="177"/>
      <c r="P41" s="177"/>
      <c r="Q41" s="177"/>
      <c r="R41" s="177"/>
      <c r="T41" s="132"/>
      <c r="U41" s="7"/>
    </row>
    <row r="42">
      <c r="A42" s="8"/>
      <c r="B42" s="129">
        <f t="shared" si="9"/>
        <v>17</v>
      </c>
      <c r="C42" s="156" t="str">
        <f t="shared" si="10"/>
        <v> Ravulapati</v>
      </c>
      <c r="D42" s="180"/>
      <c r="E42" s="179">
        <v>1.0</v>
      </c>
      <c r="F42" s="177"/>
      <c r="G42" s="177"/>
      <c r="H42" s="177"/>
      <c r="I42" s="177"/>
      <c r="K42" s="129">
        <f t="shared" si="11"/>
        <v>17</v>
      </c>
      <c r="L42" s="156" t="str">
        <f t="shared" si="12"/>
        <v> Dignazio</v>
      </c>
      <c r="M42" s="202">
        <v>1.0</v>
      </c>
      <c r="N42" s="205"/>
      <c r="O42" s="177"/>
      <c r="P42" s="177"/>
      <c r="Q42" s="177"/>
      <c r="R42" s="177"/>
      <c r="T42" s="132"/>
      <c r="U42" s="7"/>
    </row>
    <row r="43">
      <c r="A43" s="14"/>
      <c r="B43" s="135">
        <f t="shared" si="9"/>
        <v>17</v>
      </c>
      <c r="C43" s="156" t="str">
        <f t="shared" si="10"/>
        <v> Schoenfeld</v>
      </c>
      <c r="D43" s="180">
        <v>1.0</v>
      </c>
      <c r="E43" s="179"/>
      <c r="F43" s="177"/>
      <c r="G43" s="177"/>
      <c r="H43" s="177"/>
      <c r="I43" s="177"/>
      <c r="K43" s="135">
        <f t="shared" si="11"/>
        <v>17</v>
      </c>
      <c r="L43" s="156" t="str">
        <f t="shared" si="12"/>
        <v> Mann</v>
      </c>
      <c r="M43" s="180">
        <v>1.0</v>
      </c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Ravulapati</v>
      </c>
      <c r="D44" s="180">
        <v>1.0</v>
      </c>
      <c r="E44" s="181"/>
      <c r="F44" s="177"/>
      <c r="G44" s="177"/>
      <c r="H44" s="177"/>
      <c r="I44" s="177"/>
      <c r="K44" s="129">
        <f t="shared" si="11"/>
        <v>18</v>
      </c>
      <c r="L44" s="156" t="str">
        <f t="shared" si="12"/>
        <v> Dignazio</v>
      </c>
      <c r="M44" s="180">
        <v>1.0</v>
      </c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Schoenfeld</v>
      </c>
      <c r="D45" s="180">
        <v>1.0</v>
      </c>
      <c r="E45" s="181"/>
      <c r="F45" s="177"/>
      <c r="G45" s="177"/>
      <c r="H45" s="177"/>
      <c r="I45" s="177"/>
      <c r="K45" s="129">
        <f t="shared" si="11"/>
        <v>18</v>
      </c>
      <c r="L45" s="156" t="str">
        <f t="shared" si="12"/>
        <v> Mann</v>
      </c>
      <c r="M45" s="180">
        <v>1.0</v>
      </c>
      <c r="N45" s="181"/>
      <c r="O45" s="136">
        <v>1.0</v>
      </c>
      <c r="T45" s="132"/>
      <c r="U45" s="7"/>
    </row>
    <row r="46">
      <c r="A46" s="14"/>
      <c r="B46" s="135">
        <f t="shared" si="9"/>
        <v>19</v>
      </c>
      <c r="C46" s="156" t="str">
        <f t="shared" si="10"/>
        <v> Ravulapati</v>
      </c>
      <c r="D46" s="180">
        <v>1.0</v>
      </c>
      <c r="E46" s="181"/>
      <c r="F46" s="177"/>
      <c r="G46" s="177"/>
      <c r="H46" s="177"/>
      <c r="I46" s="177"/>
      <c r="K46" s="135">
        <f t="shared" si="11"/>
        <v>19</v>
      </c>
      <c r="L46" s="156" t="str">
        <f t="shared" si="12"/>
        <v> Dignazio</v>
      </c>
      <c r="M46" s="180">
        <v>1.0</v>
      </c>
      <c r="N46" s="181"/>
      <c r="P46" s="136">
        <v>1.0</v>
      </c>
      <c r="T46" s="132"/>
      <c r="U46" s="7"/>
    </row>
    <row r="47">
      <c r="A47" s="8"/>
      <c r="B47" s="129">
        <f t="shared" si="9"/>
        <v>19</v>
      </c>
      <c r="C47" s="156" t="str">
        <f t="shared" si="10"/>
        <v> Schoenfeld</v>
      </c>
      <c r="D47" s="180">
        <v>1.0</v>
      </c>
      <c r="E47" s="181"/>
      <c r="F47" s="177"/>
      <c r="G47" s="177"/>
      <c r="H47" s="177"/>
      <c r="I47" s="177"/>
      <c r="K47" s="129">
        <f t="shared" si="11"/>
        <v>19</v>
      </c>
      <c r="L47" s="156" t="str">
        <f t="shared" si="12"/>
        <v> Mann</v>
      </c>
      <c r="M47" s="180">
        <v>1.0</v>
      </c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Ravulapati</v>
      </c>
      <c r="D48" s="180">
        <v>1.0</v>
      </c>
      <c r="E48" s="181"/>
      <c r="F48" s="177"/>
      <c r="G48" s="177"/>
      <c r="H48" s="177"/>
      <c r="I48" s="177"/>
      <c r="K48" s="135">
        <f t="shared" si="11"/>
        <v>20</v>
      </c>
      <c r="L48" s="156" t="str">
        <f t="shared" si="12"/>
        <v> Dignazio</v>
      </c>
      <c r="M48" s="180">
        <v>1.0</v>
      </c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Schoenfeld</v>
      </c>
      <c r="D49" s="180">
        <v>1.0</v>
      </c>
      <c r="E49" s="179"/>
      <c r="F49" s="177"/>
      <c r="G49" s="127">
        <v>1.0</v>
      </c>
      <c r="H49" s="177"/>
      <c r="I49" s="177"/>
      <c r="K49" s="129">
        <f t="shared" si="11"/>
        <v>20</v>
      </c>
      <c r="L49" s="156" t="str">
        <f t="shared" si="12"/>
        <v> Mann</v>
      </c>
      <c r="M49" s="180">
        <v>1.0</v>
      </c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Ravulapati</v>
      </c>
      <c r="D50" s="180">
        <v>1.0</v>
      </c>
      <c r="E50" s="181"/>
      <c r="F50" s="177"/>
      <c r="G50" s="177"/>
      <c r="H50" s="177"/>
      <c r="I50" s="177"/>
      <c r="K50" s="129">
        <f t="shared" si="11"/>
        <v>21</v>
      </c>
      <c r="L50" s="156" t="str">
        <f t="shared" si="12"/>
        <v> Dignazio</v>
      </c>
      <c r="M50" s="180">
        <v>1.0</v>
      </c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Schoenfeld</v>
      </c>
      <c r="D51" s="180">
        <v>1.0</v>
      </c>
      <c r="E51" s="181"/>
      <c r="F51" s="177"/>
      <c r="G51" s="177"/>
      <c r="H51" s="177"/>
      <c r="I51" s="177"/>
      <c r="K51" s="135">
        <f t="shared" si="11"/>
        <v>21</v>
      </c>
      <c r="L51" s="156" t="str">
        <f t="shared" si="12"/>
        <v> Mann</v>
      </c>
      <c r="M51" s="180">
        <v>1.0</v>
      </c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Ravulapati</v>
      </c>
      <c r="D52" s="180">
        <v>1.0</v>
      </c>
      <c r="E52" s="181"/>
      <c r="F52" s="177"/>
      <c r="G52" s="177"/>
      <c r="H52" s="177"/>
      <c r="I52" s="177"/>
      <c r="K52" s="129">
        <f t="shared" si="11"/>
        <v>22</v>
      </c>
      <c r="L52" s="156" t="str">
        <f t="shared" si="12"/>
        <v> Dignazio</v>
      </c>
      <c r="M52" s="180">
        <v>1.0</v>
      </c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Schoenfeld</v>
      </c>
      <c r="D53" s="180">
        <v>1.0</v>
      </c>
      <c r="E53" s="181"/>
      <c r="F53" s="177"/>
      <c r="G53" s="177"/>
      <c r="H53" s="177"/>
      <c r="I53" s="177"/>
      <c r="K53" s="135">
        <f t="shared" si="11"/>
        <v>22</v>
      </c>
      <c r="L53" s="156" t="str">
        <f t="shared" si="12"/>
        <v> Mann</v>
      </c>
      <c r="M53" s="180">
        <v>1.0</v>
      </c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Ravulapati</v>
      </c>
      <c r="D54" s="180">
        <v>1.0</v>
      </c>
      <c r="E54" s="181"/>
      <c r="F54" s="177"/>
      <c r="G54" s="127">
        <v>1.0</v>
      </c>
      <c r="H54" s="177"/>
      <c r="I54" s="177"/>
      <c r="K54" s="129">
        <f t="shared" si="11"/>
        <v>23</v>
      </c>
      <c r="L54" s="156" t="str">
        <f t="shared" si="12"/>
        <v> Dignazio</v>
      </c>
      <c r="M54" s="180">
        <v>1.0</v>
      </c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Schoenfeld</v>
      </c>
      <c r="D55" s="180">
        <v>1.0</v>
      </c>
      <c r="E55" s="181"/>
      <c r="K55" s="135">
        <f t="shared" si="11"/>
        <v>23</v>
      </c>
      <c r="L55" s="156" t="str">
        <f t="shared" si="12"/>
        <v> Mann</v>
      </c>
      <c r="M55" s="180">
        <v>1.0</v>
      </c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Ravulapati</v>
      </c>
      <c r="D56" s="180">
        <v>1.0</v>
      </c>
      <c r="E56" s="181"/>
      <c r="K56" s="129">
        <f t="shared" si="11"/>
        <v>24</v>
      </c>
      <c r="L56" s="156" t="str">
        <f t="shared" si="12"/>
        <v> Dignazio</v>
      </c>
      <c r="M56" s="180">
        <v>1.0</v>
      </c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Schoenfeld</v>
      </c>
      <c r="D57" s="180">
        <v>1.0</v>
      </c>
      <c r="E57" s="181"/>
      <c r="G57" s="136">
        <v>1.0</v>
      </c>
      <c r="K57" s="129">
        <f t="shared" si="11"/>
        <v>24</v>
      </c>
      <c r="L57" s="156" t="str">
        <f t="shared" si="12"/>
        <v> Mann</v>
      </c>
      <c r="M57" s="180">
        <v>1.0</v>
      </c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Ravulapati</v>
      </c>
      <c r="D58" s="180">
        <v>1.0</v>
      </c>
      <c r="E58" s="181"/>
      <c r="K58" s="135">
        <f t="shared" si="11"/>
        <v>25</v>
      </c>
      <c r="L58" s="156" t="str">
        <f t="shared" si="12"/>
        <v> Dignazio</v>
      </c>
      <c r="M58" s="180">
        <v>1.0</v>
      </c>
      <c r="N58" s="181"/>
      <c r="P58" s="136">
        <v>1.0</v>
      </c>
      <c r="T58" s="132"/>
      <c r="U58" s="7"/>
    </row>
    <row r="59">
      <c r="A59" s="8"/>
      <c r="B59" s="129">
        <f t="shared" si="9"/>
        <v>25</v>
      </c>
      <c r="C59" s="156" t="str">
        <f t="shared" si="10"/>
        <v> Schoenfeld</v>
      </c>
      <c r="D59" s="180">
        <v>1.0</v>
      </c>
      <c r="E59" s="181"/>
      <c r="K59" s="129">
        <f t="shared" si="11"/>
        <v>25</v>
      </c>
      <c r="L59" s="156" t="str">
        <f t="shared" si="12"/>
        <v> Mann</v>
      </c>
      <c r="M59" s="180">
        <v>1.0</v>
      </c>
      <c r="N59" s="181"/>
      <c r="O59" s="136">
        <v>1.0</v>
      </c>
      <c r="T59" s="132"/>
      <c r="U59" s="7"/>
    </row>
    <row r="60">
      <c r="A60" s="14"/>
      <c r="B60" s="135">
        <f t="shared" si="9"/>
        <v>26</v>
      </c>
      <c r="C60" s="156" t="str">
        <f t="shared" si="10"/>
        <v> Ravulapati</v>
      </c>
      <c r="D60" s="180">
        <v>1.0</v>
      </c>
      <c r="E60" s="181"/>
      <c r="K60" s="135">
        <f t="shared" si="11"/>
        <v>26</v>
      </c>
      <c r="L60" s="156" t="str">
        <f t="shared" si="12"/>
        <v> Dignazio</v>
      </c>
      <c r="M60" s="180">
        <v>1.0</v>
      </c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Schoenfeld</v>
      </c>
      <c r="D61" s="180">
        <v>1.0</v>
      </c>
      <c r="E61" s="181"/>
      <c r="G61" s="136">
        <v>1.0</v>
      </c>
      <c r="K61" s="129">
        <f t="shared" si="11"/>
        <v>26</v>
      </c>
      <c r="L61" s="156" t="str">
        <f t="shared" si="12"/>
        <v> Mann</v>
      </c>
      <c r="M61" s="180">
        <v>1.0</v>
      </c>
      <c r="N61" s="181"/>
      <c r="O61" s="136">
        <v>1.0</v>
      </c>
      <c r="T61" s="132"/>
      <c r="U61" s="7"/>
    </row>
    <row r="62">
      <c r="A62" s="14"/>
      <c r="B62" s="135">
        <f t="shared" si="9"/>
        <v>27</v>
      </c>
      <c r="C62" s="156" t="str">
        <f t="shared" si="10"/>
        <v> Ravulapati</v>
      </c>
      <c r="D62" s="180">
        <v>1.0</v>
      </c>
      <c r="E62" s="181"/>
      <c r="K62" s="135">
        <f t="shared" si="11"/>
        <v>27</v>
      </c>
      <c r="L62" s="156" t="str">
        <f t="shared" si="12"/>
        <v> Dignazio</v>
      </c>
      <c r="M62" s="180">
        <v>1.0</v>
      </c>
      <c r="N62" s="181"/>
      <c r="O62" s="136">
        <v>1.0</v>
      </c>
      <c r="T62" s="132"/>
      <c r="U62" s="7"/>
    </row>
    <row r="63">
      <c r="A63" s="8"/>
      <c r="B63" s="129">
        <f t="shared" si="9"/>
        <v>27</v>
      </c>
      <c r="C63" s="156" t="str">
        <f t="shared" si="10"/>
        <v> Schoenfeld</v>
      </c>
      <c r="D63" s="180">
        <v>1.0</v>
      </c>
      <c r="E63" s="181"/>
      <c r="K63" s="129">
        <f t="shared" si="11"/>
        <v>27</v>
      </c>
      <c r="L63" s="156" t="str">
        <f t="shared" si="12"/>
        <v> Mann</v>
      </c>
      <c r="M63" s="180">
        <v>1.0</v>
      </c>
      <c r="N63" s="181"/>
      <c r="P63" s="136">
        <v>1.0</v>
      </c>
      <c r="T63" s="132"/>
      <c r="U63" s="7"/>
    </row>
    <row r="64">
      <c r="A64" s="14"/>
      <c r="B64" s="135">
        <f t="shared" si="9"/>
        <v>28</v>
      </c>
      <c r="C64" s="156" t="str">
        <f t="shared" si="10"/>
        <v> Ravulapati</v>
      </c>
      <c r="D64" s="180">
        <v>1.0</v>
      </c>
      <c r="E64" s="181"/>
      <c r="K64" s="135">
        <f t="shared" si="11"/>
        <v>28</v>
      </c>
      <c r="L64" s="156" t="str">
        <f t="shared" si="12"/>
        <v> Dignazio</v>
      </c>
      <c r="M64" s="180">
        <v>1.0</v>
      </c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Schoenfeld</v>
      </c>
      <c r="D65" s="180">
        <v>1.0</v>
      </c>
      <c r="E65" s="181"/>
      <c r="G65" s="136">
        <v>1.0</v>
      </c>
      <c r="K65" s="129">
        <f t="shared" si="11"/>
        <v>28</v>
      </c>
      <c r="L65" s="156" t="str">
        <f t="shared" si="12"/>
        <v> Mann</v>
      </c>
      <c r="M65" s="180">
        <v>1.0</v>
      </c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Ravulapati</v>
      </c>
      <c r="D66" s="178"/>
      <c r="E66" s="179">
        <v>1.0</v>
      </c>
      <c r="K66" s="135">
        <f t="shared" si="11"/>
        <v>29</v>
      </c>
      <c r="L66" s="156" t="str">
        <f t="shared" si="12"/>
        <v> Dignazio</v>
      </c>
      <c r="M66" s="180">
        <v>1.0</v>
      </c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Schoenfeld</v>
      </c>
      <c r="D67" s="180">
        <v>1.0</v>
      </c>
      <c r="E67" s="181"/>
      <c r="K67" s="135">
        <f t="shared" si="11"/>
        <v>29</v>
      </c>
      <c r="L67" s="156" t="str">
        <f t="shared" si="12"/>
        <v> Mann</v>
      </c>
      <c r="M67" s="180">
        <v>1.0</v>
      </c>
      <c r="N67" s="181"/>
      <c r="P67" s="136">
        <v>1.0</v>
      </c>
      <c r="T67" s="132"/>
      <c r="U67" s="7"/>
    </row>
    <row r="68">
      <c r="A68" s="14"/>
      <c r="B68" s="135">
        <f t="shared" si="9"/>
        <v>30</v>
      </c>
      <c r="C68" s="156" t="str">
        <f t="shared" si="10"/>
        <v> Ravulapati</v>
      </c>
      <c r="D68" s="178"/>
      <c r="E68" s="181"/>
      <c r="K68" s="135">
        <f t="shared" si="11"/>
        <v>30</v>
      </c>
      <c r="L68" s="156" t="str">
        <f t="shared" si="12"/>
        <v> Dignazio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Schoenfeld</v>
      </c>
      <c r="D69" s="178"/>
      <c r="E69" s="181"/>
      <c r="K69" s="135">
        <f t="shared" si="11"/>
        <v>30</v>
      </c>
      <c r="L69" s="156" t="str">
        <f t="shared" si="12"/>
        <v> Mann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Ravulapati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Dignazio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Schoenfeld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Mann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Ravulapati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Dignazio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Schoenfeld</v>
      </c>
      <c r="D73" s="178"/>
      <c r="E73" s="181"/>
      <c r="K73" s="129">
        <v>32.0</v>
      </c>
      <c r="L73" s="156" t="str">
        <f t="shared" si="12"/>
        <v> Mann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Ravulapati</v>
      </c>
      <c r="D74" s="192"/>
      <c r="E74" s="181"/>
      <c r="K74" s="129">
        <v>33.0</v>
      </c>
      <c r="L74" s="156" t="str">
        <f t="shared" si="12"/>
        <v> Dignazio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Schoenfeld</v>
      </c>
      <c r="D75" s="178"/>
      <c r="E75" s="181"/>
      <c r="K75" s="129">
        <v>33.0</v>
      </c>
      <c r="L75" s="156" t="str">
        <f t="shared" si="12"/>
        <v> Mann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Ravulapati</v>
      </c>
      <c r="D76" s="178"/>
      <c r="E76" s="181"/>
      <c r="K76" s="129">
        <v>34.0</v>
      </c>
      <c r="L76" s="156" t="str">
        <f t="shared" si="12"/>
        <v> Dignazio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Schoenfeld</v>
      </c>
      <c r="D77" s="178"/>
      <c r="E77" s="181"/>
      <c r="K77" s="129">
        <v>34.0</v>
      </c>
      <c r="L77" s="156" t="str">
        <f t="shared" si="12"/>
        <v> Mann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Ravulapati</v>
      </c>
      <c r="D78" s="178"/>
      <c r="E78" s="181"/>
      <c r="K78" s="129">
        <v>35.0</v>
      </c>
      <c r="L78" s="156" t="str">
        <f t="shared" si="12"/>
        <v> Dignazio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Schoenfeld</v>
      </c>
      <c r="D79" s="178"/>
      <c r="E79" s="181"/>
      <c r="K79" s="129">
        <v>35.0</v>
      </c>
      <c r="L79" s="156" t="str">
        <f t="shared" si="12"/>
        <v> Mann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Ravulapati</v>
      </c>
      <c r="D80" s="178"/>
      <c r="E80" s="181"/>
      <c r="K80" s="129">
        <v>36.0</v>
      </c>
      <c r="L80" s="156" t="str">
        <f t="shared" si="12"/>
        <v> Dignazio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Schoenfeld</v>
      </c>
      <c r="D81" s="178"/>
      <c r="E81" s="181"/>
      <c r="K81" s="129">
        <v>36.0</v>
      </c>
      <c r="L81" s="156" t="str">
        <f t="shared" si="12"/>
        <v> Mann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Ravulapati</v>
      </c>
      <c r="D82" s="178"/>
      <c r="E82" s="181"/>
      <c r="K82" s="129">
        <v>37.0</v>
      </c>
      <c r="L82" s="156" t="str">
        <f t="shared" si="12"/>
        <v> Dignazio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Schoenfeld</v>
      </c>
      <c r="D83" s="178"/>
      <c r="E83" s="181"/>
      <c r="K83" s="129">
        <v>37.0</v>
      </c>
      <c r="L83" s="156" t="str">
        <f t="shared" si="12"/>
        <v> Mann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Ravulapati</v>
      </c>
      <c r="D84" s="178"/>
      <c r="E84" s="181"/>
      <c r="K84" s="129">
        <v>38.0</v>
      </c>
      <c r="L84" s="156" t="str">
        <f t="shared" si="12"/>
        <v> Dignazio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Schoenfeld</v>
      </c>
      <c r="D85" s="178"/>
      <c r="E85" s="181"/>
      <c r="K85" s="129">
        <v>38.0</v>
      </c>
      <c r="L85" s="156" t="str">
        <f t="shared" si="12"/>
        <v> Mann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Ravulapati</v>
      </c>
      <c r="D86" s="178"/>
      <c r="E86" s="181"/>
      <c r="K86" s="129">
        <v>39.0</v>
      </c>
      <c r="L86" s="156" t="str">
        <f t="shared" si="12"/>
        <v> Dignazio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Schoenfeld</v>
      </c>
      <c r="D87" s="178"/>
      <c r="E87" s="181"/>
      <c r="K87" s="129">
        <v>39.0</v>
      </c>
      <c r="L87" s="156" t="str">
        <f t="shared" si="12"/>
        <v> Mann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Ravulapati</v>
      </c>
      <c r="D88" s="178"/>
      <c r="E88" s="181"/>
      <c r="K88" s="129">
        <v>40.0</v>
      </c>
      <c r="L88" s="156" t="str">
        <f t="shared" si="12"/>
        <v> Dignazio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Schoenfeld</v>
      </c>
      <c r="D89" s="178"/>
      <c r="E89" s="181"/>
      <c r="K89" s="129">
        <v>40.0</v>
      </c>
      <c r="L89" s="156" t="str">
        <f t="shared" si="12"/>
        <v> Mann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21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113</v>
      </c>
      <c r="D3" s="189">
        <f t="shared" ref="D3:J3" si="1">SUMPRODUCT(D10:D90,MOD(ROW(D10:D90),2)=0)</f>
        <v>10</v>
      </c>
      <c r="E3" s="189">
        <f t="shared" si="1"/>
        <v>2</v>
      </c>
      <c r="F3" s="189">
        <f t="shared" si="1"/>
        <v>0</v>
      </c>
      <c r="G3" s="189">
        <f t="shared" si="1"/>
        <v>1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108</v>
      </c>
      <c r="M3" s="189">
        <f t="shared" ref="M3:S3" si="2">SUMPRODUCT(M10:M90,MOD(ROW(M10:M90),2)=0)</f>
        <v>10</v>
      </c>
      <c r="N3" s="189">
        <f t="shared" si="2"/>
        <v>2</v>
      </c>
      <c r="O3" s="189">
        <f t="shared" si="2"/>
        <v>0</v>
      </c>
      <c r="P3" s="189">
        <f t="shared" si="2"/>
        <v>4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126</v>
      </c>
      <c r="D4" s="191">
        <f t="shared" ref="D4:J4" si="3">SUMPRODUCT(D10:D90,MOD(ROW(D10:D90),2))</f>
        <v>9</v>
      </c>
      <c r="E4" s="191">
        <f t="shared" si="3"/>
        <v>4</v>
      </c>
      <c r="F4" s="191">
        <f t="shared" si="3"/>
        <v>0</v>
      </c>
      <c r="G4" s="191">
        <f t="shared" si="3"/>
        <v>0</v>
      </c>
      <c r="H4" s="191">
        <f t="shared" si="3"/>
        <v>1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73</v>
      </c>
      <c r="M4" s="191">
        <f t="shared" ref="M4:S4" si="4">SUMPRODUCT(M10:M90,MOD(ROW(M10:M90),2))</f>
        <v>4</v>
      </c>
      <c r="N4" s="191">
        <f t="shared" si="4"/>
        <v>8</v>
      </c>
      <c r="O4" s="191">
        <f t="shared" si="4"/>
        <v>0</v>
      </c>
      <c r="P4" s="191">
        <f t="shared" si="4"/>
        <v>0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Plumpton %</v>
      </c>
      <c r="D5" s="137">
        <f t="shared" ref="D5:D6" si="6">IFERROR((E3/(E3+D3)),0)</f>
        <v>0.1666666667</v>
      </c>
      <c r="K5" s="135"/>
      <c r="L5" s="136" t="str">
        <f t="shared" ref="L5:L6" si="7">IFERROR((L10 &amp;" %"), "")</f>
        <v> Blumenschein %</v>
      </c>
      <c r="M5" s="137">
        <f t="shared" ref="M5:M6" si="8">IFERROR((N3/(N3+M3)),0)</f>
        <v>0.1666666667</v>
      </c>
      <c r="S5" s="132"/>
      <c r="T5" s="132"/>
      <c r="U5" s="7"/>
    </row>
    <row r="6">
      <c r="A6" s="14"/>
      <c r="B6" s="138"/>
      <c r="C6" s="139" t="str">
        <f t="shared" si="5"/>
        <v> Voelker %</v>
      </c>
      <c r="D6" s="140">
        <f t="shared" si="6"/>
        <v>0.3076923077</v>
      </c>
      <c r="E6" s="141"/>
      <c r="F6" s="141"/>
      <c r="G6" s="141"/>
      <c r="H6" s="141"/>
      <c r="I6" s="141"/>
      <c r="J6" s="141"/>
      <c r="K6" s="138"/>
      <c r="L6" s="139" t="str">
        <f t="shared" si="7"/>
        <v> Raza %</v>
      </c>
      <c r="M6" s="142">
        <f t="shared" si="8"/>
        <v>0.6666666667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Plumpton")</f>
        <v> Plumpton</v>
      </c>
      <c r="D10" s="197"/>
      <c r="E10" s="198">
        <v>1.0</v>
      </c>
      <c r="F10" s="199"/>
      <c r="G10" s="199"/>
      <c r="H10" s="177"/>
      <c r="I10" s="177"/>
      <c r="K10" s="129">
        <v>1.0</v>
      </c>
      <c r="L10" s="136" t="str">
        <f>IFERROR(__xludf.DUMMYFUNCTION("REGEXEXTRACT(L3, ""( .*)+"")")," Blumenschein")</f>
        <v> Blumenschein</v>
      </c>
      <c r="M10" s="200">
        <v>1.0</v>
      </c>
      <c r="N10" s="201"/>
      <c r="O10" s="177"/>
      <c r="P10" s="199"/>
      <c r="Q10" s="177"/>
      <c r="R10" s="177"/>
      <c r="T10" s="132"/>
      <c r="U10" s="7"/>
    </row>
    <row r="11">
      <c r="A11" s="8"/>
      <c r="B11" s="129">
        <v>1.0</v>
      </c>
      <c r="C11" s="136" t="str">
        <f>IFERROR(__xludf.DUMMYFUNCTION("REGEXEXTRACT(C4, ""( .*)+"")")," Voelker")</f>
        <v> Voelker</v>
      </c>
      <c r="D11" s="208"/>
      <c r="E11" s="207">
        <v>1.0</v>
      </c>
      <c r="F11" s="177"/>
      <c r="G11" s="177"/>
      <c r="H11" s="177"/>
      <c r="I11" s="177"/>
      <c r="K11" s="129">
        <v>1.0</v>
      </c>
      <c r="L11" s="136" t="str">
        <f>IFERROR(__xludf.DUMMYFUNCTION("REGEXEXTRACT(L4, ""( .*)+"")")," Raza")</f>
        <v> Raza</v>
      </c>
      <c r="M11" s="208"/>
      <c r="N11" s="207">
        <v>1.0</v>
      </c>
      <c r="O11" s="177"/>
      <c r="P11" s="177"/>
      <c r="Q11" s="177"/>
      <c r="R11" s="177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Plumpton</v>
      </c>
      <c r="D12" s="202">
        <v>1.0</v>
      </c>
      <c r="E12" s="203"/>
      <c r="F12" s="177"/>
      <c r="G12" s="177"/>
      <c r="H12" s="177"/>
      <c r="I12" s="177"/>
      <c r="K12" s="129">
        <f t="shared" ref="K12:K69" si="11">K10+1</f>
        <v>2</v>
      </c>
      <c r="L12" s="156" t="str">
        <f t="shared" ref="L12:L89" si="12">L10</f>
        <v> Blumenschein</v>
      </c>
      <c r="M12" s="200">
        <v>1.0</v>
      </c>
      <c r="N12" s="201"/>
      <c r="O12" s="177"/>
      <c r="P12" s="177"/>
      <c r="Q12" s="177"/>
      <c r="R12" s="177"/>
      <c r="T12" s="132"/>
      <c r="U12" s="7"/>
    </row>
    <row r="13">
      <c r="A13" s="14"/>
      <c r="B13" s="135">
        <f t="shared" si="9"/>
        <v>2</v>
      </c>
      <c r="C13" s="156" t="str">
        <f t="shared" si="10"/>
        <v> Voelker</v>
      </c>
      <c r="D13" s="197"/>
      <c r="E13" s="198">
        <v>1.0</v>
      </c>
      <c r="F13" s="177"/>
      <c r="G13" s="191"/>
      <c r="H13" s="177"/>
      <c r="I13" s="177"/>
      <c r="K13" s="135">
        <f t="shared" si="11"/>
        <v>2</v>
      </c>
      <c r="L13" s="156" t="str">
        <f t="shared" si="12"/>
        <v> Raza</v>
      </c>
      <c r="M13" s="208"/>
      <c r="N13" s="207">
        <v>1.0</v>
      </c>
      <c r="O13" s="177"/>
      <c r="P13" s="177"/>
      <c r="Q13" s="177"/>
      <c r="R13" s="177"/>
      <c r="T13" s="132"/>
      <c r="U13" s="7"/>
    </row>
    <row r="14">
      <c r="A14" s="8"/>
      <c r="B14" s="129">
        <f t="shared" si="9"/>
        <v>3</v>
      </c>
      <c r="C14" s="156" t="str">
        <f t="shared" si="10"/>
        <v> Plumpton</v>
      </c>
      <c r="D14" s="202">
        <v>1.0</v>
      </c>
      <c r="E14" s="203"/>
      <c r="F14" s="127"/>
      <c r="G14" s="177"/>
      <c r="H14" s="177"/>
      <c r="I14" s="177"/>
      <c r="K14" s="129">
        <f t="shared" si="11"/>
        <v>3</v>
      </c>
      <c r="L14" s="156" t="str">
        <f t="shared" si="12"/>
        <v> Blumenschein</v>
      </c>
      <c r="M14" s="202">
        <v>1.0</v>
      </c>
      <c r="N14" s="188"/>
      <c r="O14" s="177"/>
      <c r="P14" s="127">
        <v>1.0</v>
      </c>
      <c r="Q14" s="177"/>
      <c r="R14" s="177"/>
      <c r="T14" s="132"/>
      <c r="U14" s="7"/>
    </row>
    <row r="15">
      <c r="A15" s="14"/>
      <c r="B15" s="135">
        <f t="shared" si="9"/>
        <v>3</v>
      </c>
      <c r="C15" s="156" t="str">
        <f t="shared" si="10"/>
        <v> Voelker</v>
      </c>
      <c r="D15" s="200">
        <v>1.0</v>
      </c>
      <c r="E15" s="201"/>
      <c r="F15" s="177"/>
      <c r="G15" s="177"/>
      <c r="H15" s="127">
        <v>1.0</v>
      </c>
      <c r="I15" s="177"/>
      <c r="K15" s="135">
        <f t="shared" si="11"/>
        <v>3</v>
      </c>
      <c r="L15" s="156" t="str">
        <f t="shared" si="12"/>
        <v> Raza</v>
      </c>
      <c r="M15" s="200">
        <v>1.0</v>
      </c>
      <c r="N15" s="205"/>
      <c r="O15" s="177"/>
      <c r="P15" s="177"/>
      <c r="Q15" s="177"/>
      <c r="R15" s="177"/>
      <c r="T15" s="132"/>
      <c r="U15" s="7"/>
    </row>
    <row r="16">
      <c r="A16" s="8"/>
      <c r="B16" s="129">
        <f t="shared" si="9"/>
        <v>4</v>
      </c>
      <c r="C16" s="156" t="str">
        <f t="shared" si="10"/>
        <v> Plumpton</v>
      </c>
      <c r="D16" s="200">
        <v>1.0</v>
      </c>
      <c r="E16" s="205"/>
      <c r="F16" s="177"/>
      <c r="G16" s="177"/>
      <c r="H16" s="177"/>
      <c r="I16" s="177"/>
      <c r="K16" s="129">
        <f t="shared" si="11"/>
        <v>4</v>
      </c>
      <c r="L16" s="156" t="str">
        <f t="shared" si="12"/>
        <v> Blumenschein</v>
      </c>
      <c r="M16" s="200">
        <v>1.0</v>
      </c>
      <c r="N16" s="205"/>
      <c r="O16" s="177"/>
      <c r="P16" s="177"/>
      <c r="Q16" s="177"/>
      <c r="R16" s="177"/>
      <c r="T16" s="132"/>
      <c r="U16" s="7"/>
    </row>
    <row r="17">
      <c r="A17" s="14"/>
      <c r="B17" s="135">
        <f t="shared" si="9"/>
        <v>4</v>
      </c>
      <c r="C17" s="156" t="str">
        <f t="shared" si="10"/>
        <v> Voelker</v>
      </c>
      <c r="D17" s="200">
        <v>1.0</v>
      </c>
      <c r="E17" s="201"/>
      <c r="F17" s="177"/>
      <c r="G17" s="177"/>
      <c r="H17" s="177"/>
      <c r="I17" s="177"/>
      <c r="K17" s="135">
        <f t="shared" si="11"/>
        <v>4</v>
      </c>
      <c r="L17" s="156" t="str">
        <f t="shared" si="12"/>
        <v> Raza</v>
      </c>
      <c r="M17" s="206"/>
      <c r="N17" s="207">
        <v>1.0</v>
      </c>
      <c r="O17" s="177"/>
      <c r="P17" s="177"/>
      <c r="Q17" s="177"/>
      <c r="R17" s="177"/>
      <c r="T17" s="132"/>
      <c r="U17" s="7"/>
    </row>
    <row r="18">
      <c r="A18" s="8"/>
      <c r="B18" s="129">
        <f t="shared" si="9"/>
        <v>5</v>
      </c>
      <c r="C18" s="156" t="str">
        <f t="shared" si="10"/>
        <v> Plumpton</v>
      </c>
      <c r="D18" s="197"/>
      <c r="E18" s="198">
        <v>1.0</v>
      </c>
      <c r="F18" s="177"/>
      <c r="G18" s="191"/>
      <c r="H18" s="177"/>
      <c r="I18" s="177"/>
      <c r="K18" s="129">
        <f t="shared" si="11"/>
        <v>5</v>
      </c>
      <c r="L18" s="156" t="str">
        <f t="shared" si="12"/>
        <v> Blumenschein</v>
      </c>
      <c r="M18" s="200">
        <v>1.0</v>
      </c>
      <c r="N18" s="205"/>
      <c r="O18" s="177"/>
      <c r="P18" s="127">
        <v>1.0</v>
      </c>
      <c r="Q18" s="177"/>
      <c r="R18" s="177"/>
      <c r="T18" s="132"/>
      <c r="U18" s="7"/>
    </row>
    <row r="19">
      <c r="A19" s="14"/>
      <c r="B19" s="135">
        <f t="shared" si="9"/>
        <v>5</v>
      </c>
      <c r="C19" s="156" t="str">
        <f t="shared" si="10"/>
        <v> Voelker</v>
      </c>
      <c r="D19" s="197"/>
      <c r="E19" s="198">
        <v>1.0</v>
      </c>
      <c r="F19" s="177"/>
      <c r="G19" s="177"/>
      <c r="H19" s="177"/>
      <c r="I19" s="177"/>
      <c r="K19" s="135">
        <f t="shared" si="11"/>
        <v>5</v>
      </c>
      <c r="L19" s="156" t="str">
        <f t="shared" si="12"/>
        <v> Raza</v>
      </c>
      <c r="M19" s="202">
        <v>1.0</v>
      </c>
      <c r="N19" s="203"/>
      <c r="O19" s="177"/>
      <c r="P19" s="177"/>
      <c r="Q19" s="177"/>
      <c r="R19" s="177"/>
      <c r="T19" s="132"/>
      <c r="U19" s="7"/>
    </row>
    <row r="20">
      <c r="A20" s="8"/>
      <c r="B20" s="129">
        <f t="shared" si="9"/>
        <v>6</v>
      </c>
      <c r="C20" s="156" t="str">
        <f t="shared" si="10"/>
        <v> Plumpton</v>
      </c>
      <c r="D20" s="200">
        <v>1.0</v>
      </c>
      <c r="E20" s="201"/>
      <c r="F20" s="177"/>
      <c r="G20" s="177"/>
      <c r="H20" s="177"/>
      <c r="I20" s="177"/>
      <c r="K20" s="129">
        <f t="shared" si="11"/>
        <v>6</v>
      </c>
      <c r="L20" s="156" t="str">
        <f t="shared" si="12"/>
        <v> Blumenschein</v>
      </c>
      <c r="M20" s="197"/>
      <c r="N20" s="198">
        <v>1.0</v>
      </c>
      <c r="O20" s="177"/>
      <c r="P20" s="177"/>
      <c r="Q20" s="177"/>
      <c r="R20" s="177"/>
      <c r="T20" s="132"/>
      <c r="U20" s="7"/>
    </row>
    <row r="21">
      <c r="A21" s="14"/>
      <c r="B21" s="135">
        <f t="shared" si="9"/>
        <v>6</v>
      </c>
      <c r="C21" s="156" t="str">
        <f t="shared" si="10"/>
        <v> Voelker</v>
      </c>
      <c r="D21" s="200">
        <v>1.0</v>
      </c>
      <c r="E21" s="205"/>
      <c r="F21" s="177"/>
      <c r="G21" s="177"/>
      <c r="H21" s="177"/>
      <c r="I21" s="177"/>
      <c r="K21" s="135">
        <f t="shared" si="11"/>
        <v>6</v>
      </c>
      <c r="L21" s="156" t="str">
        <f t="shared" si="12"/>
        <v> Raza</v>
      </c>
      <c r="M21" s="197"/>
      <c r="N21" s="198">
        <v>1.0</v>
      </c>
      <c r="O21" s="177"/>
      <c r="P21" s="177"/>
      <c r="Q21" s="177"/>
      <c r="R21" s="177"/>
      <c r="T21" s="132"/>
      <c r="U21" s="7"/>
    </row>
    <row r="22">
      <c r="A22" s="8"/>
      <c r="B22" s="129">
        <f t="shared" si="9"/>
        <v>7</v>
      </c>
      <c r="C22" s="156" t="str">
        <f t="shared" si="10"/>
        <v> Plumpton</v>
      </c>
      <c r="D22" s="202">
        <v>1.0</v>
      </c>
      <c r="E22" s="188"/>
      <c r="F22" s="177"/>
      <c r="G22" s="177"/>
      <c r="H22" s="177"/>
      <c r="I22" s="177"/>
      <c r="K22" s="129">
        <f t="shared" si="11"/>
        <v>7</v>
      </c>
      <c r="L22" s="156" t="str">
        <f t="shared" si="12"/>
        <v> Blumenschein</v>
      </c>
      <c r="M22" s="200">
        <v>1.0</v>
      </c>
      <c r="N22" s="205"/>
      <c r="O22" s="177"/>
      <c r="P22" s="177"/>
      <c r="Q22" s="177"/>
      <c r="R22" s="177"/>
      <c r="T22" s="132"/>
      <c r="U22" s="7"/>
    </row>
    <row r="23">
      <c r="A23" s="14"/>
      <c r="B23" s="135">
        <f t="shared" si="9"/>
        <v>7</v>
      </c>
      <c r="C23" s="156" t="str">
        <f t="shared" si="10"/>
        <v> Voelker</v>
      </c>
      <c r="D23" s="200">
        <v>1.0</v>
      </c>
      <c r="E23" s="205"/>
      <c r="F23" s="177"/>
      <c r="G23" s="177"/>
      <c r="H23" s="177"/>
      <c r="I23" s="177"/>
      <c r="K23" s="135">
        <f t="shared" si="11"/>
        <v>7</v>
      </c>
      <c r="L23" s="156" t="str">
        <f t="shared" si="12"/>
        <v> Raza</v>
      </c>
      <c r="M23" s="200">
        <v>1.0</v>
      </c>
      <c r="N23" s="205"/>
      <c r="O23" s="177"/>
      <c r="P23" s="177"/>
      <c r="Q23" s="177"/>
      <c r="R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 Plumpton</v>
      </c>
      <c r="D24" s="200">
        <v>1.0</v>
      </c>
      <c r="E24" s="205"/>
      <c r="F24" s="177"/>
      <c r="G24" s="177"/>
      <c r="H24" s="177"/>
      <c r="I24" s="177"/>
      <c r="K24" s="129">
        <f t="shared" si="11"/>
        <v>8</v>
      </c>
      <c r="L24" s="156" t="str">
        <f t="shared" si="12"/>
        <v> Blumenschein</v>
      </c>
      <c r="M24" s="208"/>
      <c r="N24" s="207">
        <v>1.0</v>
      </c>
      <c r="O24" s="177"/>
      <c r="P24" s="177"/>
      <c r="Q24" s="177"/>
      <c r="R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 Voelker</v>
      </c>
      <c r="D25" s="202">
        <v>1.0</v>
      </c>
      <c r="E25" s="188"/>
      <c r="F25" s="177"/>
      <c r="G25" s="177"/>
      <c r="H25" s="177"/>
      <c r="I25" s="177"/>
      <c r="K25" s="135">
        <f t="shared" si="11"/>
        <v>8</v>
      </c>
      <c r="L25" s="156" t="str">
        <f t="shared" si="12"/>
        <v> Raza</v>
      </c>
      <c r="M25" s="206"/>
      <c r="N25" s="207">
        <v>1.0</v>
      </c>
      <c r="O25" s="177"/>
      <c r="P25" s="177"/>
      <c r="Q25" s="177"/>
      <c r="R25" s="177"/>
      <c r="T25" s="132"/>
      <c r="U25" s="7"/>
    </row>
    <row r="26">
      <c r="A26" s="8"/>
      <c r="B26" s="129">
        <f t="shared" si="9"/>
        <v>9</v>
      </c>
      <c r="C26" s="156" t="str">
        <f t="shared" si="10"/>
        <v> Plumpton</v>
      </c>
      <c r="D26" s="202">
        <v>1.0</v>
      </c>
      <c r="E26" s="188"/>
      <c r="F26" s="177"/>
      <c r="G26" s="177"/>
      <c r="H26" s="177"/>
      <c r="I26" s="177"/>
      <c r="K26" s="129">
        <f t="shared" si="11"/>
        <v>9</v>
      </c>
      <c r="L26" s="156" t="str">
        <f t="shared" si="12"/>
        <v> Blumenschein</v>
      </c>
      <c r="M26" s="200">
        <v>1.0</v>
      </c>
      <c r="N26" s="205"/>
      <c r="O26" s="177"/>
      <c r="P26" s="127">
        <v>1.0</v>
      </c>
      <c r="Q26" s="177"/>
      <c r="R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 Voelker</v>
      </c>
      <c r="D27" s="202">
        <v>1.0</v>
      </c>
      <c r="E27" s="188"/>
      <c r="F27" s="177"/>
      <c r="G27" s="177"/>
      <c r="H27" s="177"/>
      <c r="I27" s="177"/>
      <c r="K27" s="135">
        <f t="shared" si="11"/>
        <v>9</v>
      </c>
      <c r="L27" s="156" t="str">
        <f t="shared" si="12"/>
        <v> Raza</v>
      </c>
      <c r="M27" s="197"/>
      <c r="N27" s="198">
        <v>1.0</v>
      </c>
      <c r="O27" s="177"/>
      <c r="P27" s="177"/>
      <c r="Q27" s="177"/>
      <c r="R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 Plumpton</v>
      </c>
      <c r="D28" s="200">
        <v>1.0</v>
      </c>
      <c r="E28" s="205"/>
      <c r="F28" s="177"/>
      <c r="G28" s="191"/>
      <c r="H28" s="177"/>
      <c r="I28" s="177"/>
      <c r="K28" s="129">
        <f t="shared" si="11"/>
        <v>10</v>
      </c>
      <c r="L28" s="156" t="str">
        <f t="shared" si="12"/>
        <v> Blumenschein</v>
      </c>
      <c r="M28" s="200">
        <v>1.0</v>
      </c>
      <c r="N28" s="205"/>
      <c r="O28" s="177"/>
      <c r="P28" s="177"/>
      <c r="Q28" s="177"/>
      <c r="R28" s="177"/>
      <c r="T28" s="132"/>
      <c r="U28" s="7"/>
    </row>
    <row r="29">
      <c r="A29" s="14"/>
      <c r="B29" s="135">
        <f t="shared" si="9"/>
        <v>10</v>
      </c>
      <c r="C29" s="156" t="str">
        <f t="shared" si="10"/>
        <v> Voelker</v>
      </c>
      <c r="D29" s="197"/>
      <c r="E29" s="198">
        <v>1.0</v>
      </c>
      <c r="F29" s="177"/>
      <c r="G29" s="177"/>
      <c r="H29" s="177"/>
      <c r="I29" s="177"/>
      <c r="K29" s="135">
        <f t="shared" si="11"/>
        <v>10</v>
      </c>
      <c r="L29" s="156" t="str">
        <f t="shared" si="12"/>
        <v> Raza</v>
      </c>
      <c r="M29" s="197"/>
      <c r="N29" s="198">
        <v>1.0</v>
      </c>
      <c r="O29" s="177"/>
      <c r="P29" s="177"/>
      <c r="Q29" s="177"/>
      <c r="R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 Plumpton</v>
      </c>
      <c r="D30" s="200">
        <v>1.0</v>
      </c>
      <c r="E30" s="205"/>
      <c r="F30" s="177"/>
      <c r="G30" s="177"/>
      <c r="H30" s="177"/>
      <c r="I30" s="177"/>
      <c r="K30" s="129">
        <f t="shared" si="11"/>
        <v>11</v>
      </c>
      <c r="L30" s="156" t="str">
        <f t="shared" si="12"/>
        <v> Blumenschein</v>
      </c>
      <c r="M30" s="200">
        <v>1.0</v>
      </c>
      <c r="N30" s="205"/>
      <c r="O30" s="177"/>
      <c r="P30" s="127">
        <v>1.0</v>
      </c>
      <c r="Q30" s="177"/>
      <c r="R30" s="177"/>
      <c r="T30" s="132"/>
      <c r="U30" s="7"/>
    </row>
    <row r="31">
      <c r="A31" s="14"/>
      <c r="B31" s="135">
        <f t="shared" si="9"/>
        <v>11</v>
      </c>
      <c r="C31" s="156" t="str">
        <f t="shared" si="10"/>
        <v> Voelker</v>
      </c>
      <c r="D31" s="200">
        <v>1.0</v>
      </c>
      <c r="E31" s="205"/>
      <c r="F31" s="177"/>
      <c r="G31" s="177"/>
      <c r="H31" s="177"/>
      <c r="I31" s="177"/>
      <c r="K31" s="135">
        <f t="shared" si="11"/>
        <v>11</v>
      </c>
      <c r="L31" s="156" t="str">
        <f t="shared" si="12"/>
        <v> Raza</v>
      </c>
      <c r="M31" s="202">
        <v>1.0</v>
      </c>
      <c r="N31" s="203"/>
      <c r="O31" s="177"/>
      <c r="P31" s="177"/>
      <c r="Q31" s="177"/>
      <c r="R31" s="177"/>
      <c r="T31" s="132"/>
      <c r="U31" s="7"/>
    </row>
    <row r="32">
      <c r="A32" s="8"/>
      <c r="B32" s="129">
        <f t="shared" si="9"/>
        <v>12</v>
      </c>
      <c r="C32" s="156" t="str">
        <f t="shared" si="10"/>
        <v> Plumpton</v>
      </c>
      <c r="D32" s="200">
        <v>1.0</v>
      </c>
      <c r="E32" s="205"/>
      <c r="F32" s="177"/>
      <c r="G32" s="127">
        <v>1.0</v>
      </c>
      <c r="H32" s="177"/>
      <c r="I32" s="177"/>
      <c r="K32" s="129">
        <f t="shared" si="11"/>
        <v>12</v>
      </c>
      <c r="L32" s="156" t="str">
        <f t="shared" si="12"/>
        <v> Blumenschein</v>
      </c>
      <c r="M32" s="200">
        <v>1.0</v>
      </c>
      <c r="N32" s="205"/>
      <c r="O32" s="177"/>
      <c r="P32" s="177"/>
      <c r="Q32" s="177"/>
      <c r="R32" s="177"/>
      <c r="T32" s="132"/>
      <c r="U32" s="7"/>
    </row>
    <row r="33">
      <c r="A33" s="14"/>
      <c r="B33" s="135">
        <f t="shared" si="9"/>
        <v>12</v>
      </c>
      <c r="C33" s="156" t="str">
        <f t="shared" si="10"/>
        <v> Voelker</v>
      </c>
      <c r="D33" s="200">
        <v>1.0</v>
      </c>
      <c r="E33" s="205"/>
      <c r="F33" s="177"/>
      <c r="G33" s="177"/>
      <c r="H33" s="177"/>
      <c r="I33" s="177"/>
      <c r="K33" s="135">
        <f t="shared" si="11"/>
        <v>12</v>
      </c>
      <c r="L33" s="156" t="str">
        <f t="shared" si="12"/>
        <v> Raza</v>
      </c>
      <c r="M33" s="187"/>
      <c r="N33" s="198">
        <v>1.0</v>
      </c>
      <c r="O33" s="177"/>
      <c r="P33" s="177"/>
      <c r="Q33" s="177"/>
      <c r="R33" s="177"/>
      <c r="T33" s="132"/>
      <c r="U33" s="7"/>
    </row>
    <row r="34">
      <c r="A34" s="8"/>
      <c r="B34" s="129">
        <f t="shared" si="9"/>
        <v>13</v>
      </c>
      <c r="C34" s="156" t="str">
        <f t="shared" si="10"/>
        <v> Plumpton</v>
      </c>
      <c r="D34" s="197"/>
      <c r="E34" s="205"/>
      <c r="F34" s="177"/>
      <c r="G34" s="177"/>
      <c r="H34" s="177"/>
      <c r="I34" s="177"/>
      <c r="K34" s="129">
        <f t="shared" si="11"/>
        <v>13</v>
      </c>
      <c r="L34" s="156" t="str">
        <f t="shared" si="12"/>
        <v> Blumenschein</v>
      </c>
      <c r="M34" s="208"/>
      <c r="N34" s="188"/>
      <c r="O34" s="177"/>
      <c r="P34" s="177"/>
      <c r="Q34" s="177"/>
      <c r="R34" s="177"/>
      <c r="T34" s="132"/>
      <c r="U34" s="7"/>
    </row>
    <row r="35">
      <c r="A35" s="14"/>
      <c r="B35" s="135">
        <f t="shared" si="9"/>
        <v>13</v>
      </c>
      <c r="C35" s="156" t="str">
        <f t="shared" si="10"/>
        <v> Voelker</v>
      </c>
      <c r="D35" s="202">
        <v>1.0</v>
      </c>
      <c r="E35" s="188"/>
      <c r="F35" s="177"/>
      <c r="G35" s="177"/>
      <c r="H35" s="177"/>
      <c r="I35" s="177"/>
      <c r="K35" s="135">
        <f t="shared" si="11"/>
        <v>13</v>
      </c>
      <c r="L35" s="156" t="str">
        <f t="shared" si="12"/>
        <v> Raza</v>
      </c>
      <c r="M35" s="197"/>
      <c r="N35" s="205"/>
      <c r="O35" s="177"/>
      <c r="P35" s="177"/>
      <c r="Q35" s="177"/>
      <c r="R35" s="177"/>
      <c r="T35" s="132"/>
      <c r="U35" s="7"/>
    </row>
    <row r="36">
      <c r="A36" s="8"/>
      <c r="B36" s="129">
        <f t="shared" si="9"/>
        <v>14</v>
      </c>
      <c r="C36" s="156" t="str">
        <f t="shared" si="10"/>
        <v> Plumpton</v>
      </c>
      <c r="D36" s="208"/>
      <c r="E36" s="205"/>
      <c r="F36" s="177"/>
      <c r="G36" s="177"/>
      <c r="H36" s="177"/>
      <c r="I36" s="177"/>
      <c r="K36" s="129">
        <f t="shared" si="11"/>
        <v>14</v>
      </c>
      <c r="L36" s="156" t="str">
        <f t="shared" si="12"/>
        <v> Blumenschein</v>
      </c>
      <c r="M36" s="208"/>
      <c r="N36" s="205"/>
      <c r="O36" s="177"/>
      <c r="P36" s="177"/>
      <c r="Q36" s="177"/>
      <c r="R36" s="177"/>
      <c r="T36" s="132"/>
      <c r="U36" s="7"/>
    </row>
    <row r="37">
      <c r="A37" s="14"/>
      <c r="B37" s="135">
        <f t="shared" si="9"/>
        <v>14</v>
      </c>
      <c r="C37" s="156" t="str">
        <f t="shared" si="10"/>
        <v> Voelker</v>
      </c>
      <c r="D37" s="208"/>
      <c r="E37" s="188"/>
      <c r="F37" s="177"/>
      <c r="G37" s="177"/>
      <c r="H37" s="177"/>
      <c r="I37" s="177"/>
      <c r="K37" s="135">
        <f t="shared" si="11"/>
        <v>14</v>
      </c>
      <c r="L37" s="156" t="str">
        <f t="shared" si="12"/>
        <v> Raza</v>
      </c>
      <c r="M37" s="208"/>
      <c r="N37" s="188"/>
      <c r="O37" s="177"/>
      <c r="P37" s="177"/>
      <c r="Q37" s="177"/>
      <c r="R37" s="177"/>
      <c r="T37" s="132"/>
      <c r="U37" s="7"/>
    </row>
    <row r="38">
      <c r="A38" s="8"/>
      <c r="B38" s="129">
        <f t="shared" si="9"/>
        <v>15</v>
      </c>
      <c r="C38" s="156" t="str">
        <f t="shared" si="10"/>
        <v> Plumpton</v>
      </c>
      <c r="D38" s="208"/>
      <c r="E38" s="205"/>
      <c r="F38" s="177"/>
      <c r="G38" s="177"/>
      <c r="H38" s="177"/>
      <c r="I38" s="177"/>
      <c r="K38" s="129">
        <f t="shared" si="11"/>
        <v>15</v>
      </c>
      <c r="L38" s="156" t="str">
        <f t="shared" si="12"/>
        <v> Blumenschein</v>
      </c>
      <c r="M38" s="208"/>
      <c r="N38" s="205"/>
      <c r="O38" s="177"/>
      <c r="P38" s="177"/>
      <c r="Q38" s="177"/>
      <c r="R38" s="177"/>
      <c r="T38" s="132"/>
      <c r="U38" s="7"/>
    </row>
    <row r="39">
      <c r="A39" s="14"/>
      <c r="B39" s="135">
        <f t="shared" si="9"/>
        <v>15</v>
      </c>
      <c r="C39" s="156" t="str">
        <f t="shared" si="10"/>
        <v> Voelker</v>
      </c>
      <c r="D39" s="197"/>
      <c r="E39" s="205"/>
      <c r="F39" s="177"/>
      <c r="G39" s="177"/>
      <c r="H39" s="177"/>
      <c r="I39" s="177"/>
      <c r="K39" s="135">
        <f t="shared" si="11"/>
        <v>15</v>
      </c>
      <c r="L39" s="156" t="str">
        <f t="shared" si="12"/>
        <v> Raza</v>
      </c>
      <c r="M39" s="208"/>
      <c r="N39" s="205"/>
      <c r="O39" s="177"/>
      <c r="P39" s="177"/>
      <c r="Q39" s="177"/>
      <c r="R39" s="177"/>
      <c r="T39" s="132"/>
      <c r="U39" s="7"/>
    </row>
    <row r="40">
      <c r="A40" s="8"/>
      <c r="B40" s="129">
        <f t="shared" si="9"/>
        <v>16</v>
      </c>
      <c r="C40" s="156" t="str">
        <f t="shared" si="10"/>
        <v> Plumpton</v>
      </c>
      <c r="D40" s="180"/>
      <c r="E40" s="179"/>
      <c r="F40" s="177"/>
      <c r="G40" s="177"/>
      <c r="H40" s="177"/>
      <c r="I40" s="177"/>
      <c r="K40" s="129">
        <f t="shared" si="11"/>
        <v>16</v>
      </c>
      <c r="L40" s="156" t="str">
        <f t="shared" si="12"/>
        <v> Blumenschein</v>
      </c>
      <c r="M40" s="208"/>
      <c r="N40" s="205"/>
      <c r="O40" s="177"/>
      <c r="P40" s="177"/>
      <c r="Q40" s="177"/>
      <c r="R40" s="177"/>
      <c r="T40" s="132"/>
      <c r="U40" s="7"/>
    </row>
    <row r="41">
      <c r="A41" s="14"/>
      <c r="B41" s="135">
        <f t="shared" si="9"/>
        <v>16</v>
      </c>
      <c r="C41" s="156" t="str">
        <f t="shared" si="10"/>
        <v> Voelker</v>
      </c>
      <c r="D41" s="180"/>
      <c r="E41" s="181"/>
      <c r="F41" s="177"/>
      <c r="G41" s="177"/>
      <c r="H41" s="177"/>
      <c r="I41" s="177"/>
      <c r="K41" s="135">
        <f t="shared" si="11"/>
        <v>16</v>
      </c>
      <c r="L41" s="156" t="str">
        <f t="shared" si="12"/>
        <v> Raza</v>
      </c>
      <c r="M41" s="206"/>
      <c r="N41" s="201"/>
      <c r="O41" s="177"/>
      <c r="P41" s="177"/>
      <c r="Q41" s="177"/>
      <c r="R41" s="177"/>
      <c r="T41" s="132"/>
      <c r="U41" s="7"/>
    </row>
    <row r="42">
      <c r="A42" s="8"/>
      <c r="B42" s="129">
        <f t="shared" si="9"/>
        <v>17</v>
      </c>
      <c r="C42" s="156" t="str">
        <f t="shared" si="10"/>
        <v> Plumpton</v>
      </c>
      <c r="D42" s="180"/>
      <c r="E42" s="181"/>
      <c r="F42" s="177"/>
      <c r="G42" s="177"/>
      <c r="H42" s="177"/>
      <c r="I42" s="177"/>
      <c r="K42" s="129">
        <f t="shared" si="11"/>
        <v>17</v>
      </c>
      <c r="L42" s="156" t="str">
        <f t="shared" si="12"/>
        <v> Blumenschein</v>
      </c>
      <c r="M42" s="208"/>
      <c r="N42" s="205"/>
      <c r="O42" s="177"/>
      <c r="P42" s="177"/>
      <c r="Q42" s="177"/>
      <c r="R42" s="177"/>
      <c r="T42" s="132"/>
      <c r="U42" s="7"/>
    </row>
    <row r="43">
      <c r="A43" s="14"/>
      <c r="B43" s="135">
        <f t="shared" si="9"/>
        <v>17</v>
      </c>
      <c r="C43" s="156" t="str">
        <f t="shared" si="10"/>
        <v> Voelker</v>
      </c>
      <c r="D43" s="178"/>
      <c r="E43" s="179"/>
      <c r="F43" s="177"/>
      <c r="G43" s="177"/>
      <c r="H43" s="177"/>
      <c r="I43" s="177"/>
      <c r="K43" s="135">
        <f t="shared" si="11"/>
        <v>17</v>
      </c>
      <c r="L43" s="156" t="str">
        <f t="shared" si="12"/>
        <v> Raza</v>
      </c>
      <c r="M43" s="180"/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Plumpton</v>
      </c>
      <c r="D44" s="180"/>
      <c r="E44" s="181"/>
      <c r="F44" s="177"/>
      <c r="G44" s="177"/>
      <c r="H44" s="177"/>
      <c r="I44" s="177"/>
      <c r="K44" s="129">
        <f t="shared" si="11"/>
        <v>18</v>
      </c>
      <c r="L44" s="156" t="str">
        <f t="shared" si="12"/>
        <v> Blumenschein</v>
      </c>
      <c r="M44" s="180"/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Voelker</v>
      </c>
      <c r="D45" s="180"/>
      <c r="E45" s="181"/>
      <c r="F45" s="177"/>
      <c r="G45" s="177"/>
      <c r="H45" s="177"/>
      <c r="I45" s="177"/>
      <c r="K45" s="129">
        <f t="shared" si="11"/>
        <v>18</v>
      </c>
      <c r="L45" s="156" t="str">
        <f t="shared" si="12"/>
        <v> Raza</v>
      </c>
      <c r="M45" s="180"/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Plumpton</v>
      </c>
      <c r="D46" s="180"/>
      <c r="E46" s="181"/>
      <c r="F46" s="177"/>
      <c r="G46" s="177"/>
      <c r="H46" s="177"/>
      <c r="I46" s="177"/>
      <c r="K46" s="135">
        <f t="shared" si="11"/>
        <v>19</v>
      </c>
      <c r="L46" s="156" t="str">
        <f t="shared" si="12"/>
        <v> Blumenschein</v>
      </c>
      <c r="M46" s="180"/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Voelker</v>
      </c>
      <c r="D47" s="180"/>
      <c r="E47" s="181"/>
      <c r="F47" s="177"/>
      <c r="G47" s="177"/>
      <c r="H47" s="177"/>
      <c r="I47" s="177"/>
      <c r="K47" s="129">
        <f t="shared" si="11"/>
        <v>19</v>
      </c>
      <c r="L47" s="156" t="str">
        <f t="shared" si="12"/>
        <v> Raza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Plumpton</v>
      </c>
      <c r="D48" s="180"/>
      <c r="E48" s="181"/>
      <c r="F48" s="177"/>
      <c r="G48" s="177"/>
      <c r="H48" s="177"/>
      <c r="I48" s="177"/>
      <c r="K48" s="135">
        <f t="shared" si="11"/>
        <v>20</v>
      </c>
      <c r="L48" s="156" t="str">
        <f t="shared" si="12"/>
        <v> Blumenschein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Voelker</v>
      </c>
      <c r="D49" s="178"/>
      <c r="E49" s="179"/>
      <c r="F49" s="177"/>
      <c r="G49" s="177"/>
      <c r="H49" s="177"/>
      <c r="I49" s="177"/>
      <c r="K49" s="129">
        <f t="shared" si="11"/>
        <v>20</v>
      </c>
      <c r="L49" s="156" t="str">
        <f t="shared" si="12"/>
        <v> Raza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Plumpton</v>
      </c>
      <c r="D50" s="180"/>
      <c r="E50" s="181"/>
      <c r="F50" s="177"/>
      <c r="G50" s="177"/>
      <c r="H50" s="177"/>
      <c r="I50" s="177"/>
      <c r="K50" s="129">
        <f t="shared" si="11"/>
        <v>21</v>
      </c>
      <c r="L50" s="156" t="str">
        <f t="shared" si="12"/>
        <v> Blumenschein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Voelker</v>
      </c>
      <c r="D51" s="180"/>
      <c r="E51" s="181"/>
      <c r="F51" s="177"/>
      <c r="G51" s="177"/>
      <c r="H51" s="177"/>
      <c r="I51" s="177"/>
      <c r="K51" s="135">
        <f t="shared" si="11"/>
        <v>21</v>
      </c>
      <c r="L51" s="156" t="str">
        <f t="shared" si="12"/>
        <v> Raza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Plumpton</v>
      </c>
      <c r="D52" s="178"/>
      <c r="E52" s="181"/>
      <c r="F52" s="177"/>
      <c r="G52" s="177"/>
      <c r="H52" s="177"/>
      <c r="I52" s="177"/>
      <c r="K52" s="129">
        <f t="shared" si="11"/>
        <v>22</v>
      </c>
      <c r="L52" s="156" t="str">
        <f t="shared" si="12"/>
        <v> Blumenschein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Voelker</v>
      </c>
      <c r="D53" s="178"/>
      <c r="E53" s="181"/>
      <c r="F53" s="177"/>
      <c r="G53" s="177"/>
      <c r="H53" s="177"/>
      <c r="I53" s="177"/>
      <c r="K53" s="135">
        <f t="shared" si="11"/>
        <v>22</v>
      </c>
      <c r="L53" s="156" t="str">
        <f t="shared" si="12"/>
        <v> Raza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Plumpton</v>
      </c>
      <c r="D54" s="178"/>
      <c r="E54" s="181"/>
      <c r="F54" s="177"/>
      <c r="G54" s="177"/>
      <c r="H54" s="177"/>
      <c r="I54" s="177"/>
      <c r="K54" s="129">
        <f t="shared" si="11"/>
        <v>23</v>
      </c>
      <c r="L54" s="156" t="str">
        <f t="shared" si="12"/>
        <v> Blumenschein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Voelker</v>
      </c>
      <c r="D55" s="178"/>
      <c r="E55" s="181"/>
      <c r="K55" s="135">
        <f t="shared" si="11"/>
        <v>23</v>
      </c>
      <c r="L55" s="156" t="str">
        <f t="shared" si="12"/>
        <v> Raza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Plumpton</v>
      </c>
      <c r="D56" s="178"/>
      <c r="E56" s="181"/>
      <c r="K56" s="129">
        <f t="shared" si="11"/>
        <v>24</v>
      </c>
      <c r="L56" s="156" t="str">
        <f t="shared" si="12"/>
        <v> Blumenschein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Voelker</v>
      </c>
      <c r="D57" s="178"/>
      <c r="E57" s="181"/>
      <c r="K57" s="129">
        <f t="shared" si="11"/>
        <v>24</v>
      </c>
      <c r="L57" s="156" t="str">
        <f t="shared" si="12"/>
        <v> Raza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Plumpton</v>
      </c>
      <c r="D58" s="178"/>
      <c r="E58" s="181"/>
      <c r="K58" s="135">
        <f t="shared" si="11"/>
        <v>25</v>
      </c>
      <c r="L58" s="156" t="str">
        <f t="shared" si="12"/>
        <v> Blumenschein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Voelker</v>
      </c>
      <c r="D59" s="178"/>
      <c r="E59" s="181"/>
      <c r="K59" s="129">
        <f t="shared" si="11"/>
        <v>25</v>
      </c>
      <c r="L59" s="156" t="str">
        <f t="shared" si="12"/>
        <v> Raza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Plumpton</v>
      </c>
      <c r="D60" s="178"/>
      <c r="E60" s="181"/>
      <c r="K60" s="135">
        <f t="shared" si="11"/>
        <v>26</v>
      </c>
      <c r="L60" s="156" t="str">
        <f t="shared" si="12"/>
        <v> Blumenschein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Voelker</v>
      </c>
      <c r="D61" s="178"/>
      <c r="E61" s="181"/>
      <c r="K61" s="129">
        <f t="shared" si="11"/>
        <v>26</v>
      </c>
      <c r="L61" s="156" t="str">
        <f t="shared" si="12"/>
        <v> Raza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Plumpton</v>
      </c>
      <c r="D62" s="178"/>
      <c r="E62" s="181"/>
      <c r="K62" s="135">
        <f t="shared" si="11"/>
        <v>27</v>
      </c>
      <c r="L62" s="156" t="str">
        <f t="shared" si="12"/>
        <v> Blumenschein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Voelker</v>
      </c>
      <c r="D63" s="178"/>
      <c r="E63" s="181"/>
      <c r="K63" s="129">
        <f t="shared" si="11"/>
        <v>27</v>
      </c>
      <c r="L63" s="156" t="str">
        <f t="shared" si="12"/>
        <v> Raza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Plumpton</v>
      </c>
      <c r="D64" s="178"/>
      <c r="E64" s="181"/>
      <c r="K64" s="135">
        <f t="shared" si="11"/>
        <v>28</v>
      </c>
      <c r="L64" s="156" t="str">
        <f t="shared" si="12"/>
        <v> Blumenschein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Voelker</v>
      </c>
      <c r="D65" s="178"/>
      <c r="E65" s="181"/>
      <c r="K65" s="129">
        <f t="shared" si="11"/>
        <v>28</v>
      </c>
      <c r="L65" s="156" t="str">
        <f t="shared" si="12"/>
        <v> Raza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Plumpton</v>
      </c>
      <c r="D66" s="178"/>
      <c r="E66" s="181"/>
      <c r="K66" s="135">
        <f t="shared" si="11"/>
        <v>29</v>
      </c>
      <c r="L66" s="156" t="str">
        <f t="shared" si="12"/>
        <v> Blumenschein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Voelker</v>
      </c>
      <c r="D67" s="178"/>
      <c r="E67" s="181"/>
      <c r="K67" s="135">
        <f t="shared" si="11"/>
        <v>29</v>
      </c>
      <c r="L67" s="156" t="str">
        <f t="shared" si="12"/>
        <v> Raza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Plumpton</v>
      </c>
      <c r="D68" s="178"/>
      <c r="E68" s="181"/>
      <c r="K68" s="135">
        <f t="shared" si="11"/>
        <v>30</v>
      </c>
      <c r="L68" s="156" t="str">
        <f t="shared" si="12"/>
        <v> Blumenschein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Voelker</v>
      </c>
      <c r="D69" s="178"/>
      <c r="E69" s="181"/>
      <c r="K69" s="135">
        <f t="shared" si="11"/>
        <v>30</v>
      </c>
      <c r="L69" s="156" t="str">
        <f t="shared" si="12"/>
        <v> Raza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Plumpton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Blumenschein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Voelker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Raza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Plumpton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Blumenschein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Voelker</v>
      </c>
      <c r="D73" s="178"/>
      <c r="E73" s="181"/>
      <c r="K73" s="129">
        <v>32.0</v>
      </c>
      <c r="L73" s="156" t="str">
        <f t="shared" si="12"/>
        <v> Raza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Plumpton</v>
      </c>
      <c r="D74" s="192"/>
      <c r="E74" s="181"/>
      <c r="K74" s="129">
        <v>33.0</v>
      </c>
      <c r="L74" s="156" t="str">
        <f t="shared" si="12"/>
        <v> Blumenschein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Voelker</v>
      </c>
      <c r="D75" s="178"/>
      <c r="E75" s="181"/>
      <c r="K75" s="129">
        <v>33.0</v>
      </c>
      <c r="L75" s="156" t="str">
        <f t="shared" si="12"/>
        <v> Raza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Plumpton</v>
      </c>
      <c r="D76" s="178"/>
      <c r="E76" s="181"/>
      <c r="K76" s="129">
        <v>34.0</v>
      </c>
      <c r="L76" s="156" t="str">
        <f t="shared" si="12"/>
        <v> Blumenschein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Voelker</v>
      </c>
      <c r="D77" s="178"/>
      <c r="E77" s="181"/>
      <c r="K77" s="129">
        <v>34.0</v>
      </c>
      <c r="L77" s="156" t="str">
        <f t="shared" si="12"/>
        <v> Raza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Plumpton</v>
      </c>
      <c r="D78" s="178"/>
      <c r="E78" s="181"/>
      <c r="K78" s="129">
        <v>35.0</v>
      </c>
      <c r="L78" s="156" t="str">
        <f t="shared" si="12"/>
        <v> Blumenschein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Voelker</v>
      </c>
      <c r="D79" s="178"/>
      <c r="E79" s="181"/>
      <c r="K79" s="129">
        <v>35.0</v>
      </c>
      <c r="L79" s="156" t="str">
        <f t="shared" si="12"/>
        <v> Raza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Plumpton</v>
      </c>
      <c r="D80" s="178"/>
      <c r="E80" s="181"/>
      <c r="K80" s="129">
        <v>36.0</v>
      </c>
      <c r="L80" s="156" t="str">
        <f t="shared" si="12"/>
        <v> Blumenschein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Voelker</v>
      </c>
      <c r="D81" s="178"/>
      <c r="E81" s="181"/>
      <c r="K81" s="129">
        <v>36.0</v>
      </c>
      <c r="L81" s="156" t="str">
        <f t="shared" si="12"/>
        <v> Raza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Plumpton</v>
      </c>
      <c r="D82" s="178"/>
      <c r="E82" s="181"/>
      <c r="K82" s="129">
        <v>37.0</v>
      </c>
      <c r="L82" s="156" t="str">
        <f t="shared" si="12"/>
        <v> Blumenschein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Voelker</v>
      </c>
      <c r="D83" s="178"/>
      <c r="E83" s="181"/>
      <c r="K83" s="129">
        <v>37.0</v>
      </c>
      <c r="L83" s="156" t="str">
        <f t="shared" si="12"/>
        <v> Raza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Plumpton</v>
      </c>
      <c r="D84" s="178"/>
      <c r="E84" s="181"/>
      <c r="K84" s="129">
        <v>38.0</v>
      </c>
      <c r="L84" s="156" t="str">
        <f t="shared" si="12"/>
        <v> Blumenschein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Voelker</v>
      </c>
      <c r="D85" s="178"/>
      <c r="E85" s="181"/>
      <c r="K85" s="129">
        <v>38.0</v>
      </c>
      <c r="L85" s="156" t="str">
        <f t="shared" si="12"/>
        <v> Raza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Plumpton</v>
      </c>
      <c r="D86" s="178"/>
      <c r="E86" s="181"/>
      <c r="K86" s="129">
        <v>39.0</v>
      </c>
      <c r="L86" s="156" t="str">
        <f t="shared" si="12"/>
        <v> Blumenschein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Voelker</v>
      </c>
      <c r="D87" s="178"/>
      <c r="E87" s="181"/>
      <c r="K87" s="129">
        <v>39.0</v>
      </c>
      <c r="L87" s="156" t="str">
        <f t="shared" si="12"/>
        <v> Raza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Plumpton</v>
      </c>
      <c r="D88" s="178"/>
      <c r="E88" s="181"/>
      <c r="K88" s="129">
        <v>40.0</v>
      </c>
      <c r="L88" s="156" t="str">
        <f t="shared" si="12"/>
        <v> Blumenschein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Voelker</v>
      </c>
      <c r="D89" s="178"/>
      <c r="E89" s="181"/>
      <c r="K89" s="129">
        <v>40.0</v>
      </c>
      <c r="L89" s="156" t="str">
        <f t="shared" si="12"/>
        <v> Raza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127</v>
      </c>
      <c r="D3" s="189">
        <f t="shared" ref="D3:J3" si="1">SUMPRODUCT(D10:D90,MOD(ROW(D10:D90),2)=0)</f>
        <v>20</v>
      </c>
      <c r="E3" s="189">
        <f t="shared" si="1"/>
        <v>3</v>
      </c>
      <c r="F3" s="189">
        <f t="shared" si="1"/>
        <v>0</v>
      </c>
      <c r="G3" s="189">
        <f t="shared" si="1"/>
        <v>6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125</v>
      </c>
      <c r="M3" s="189">
        <f t="shared" ref="M3:S3" si="2">SUMPRODUCT(M10:M90,MOD(ROW(M10:M90),2)=0)</f>
        <v>18</v>
      </c>
      <c r="N3" s="189">
        <f t="shared" si="2"/>
        <v>5</v>
      </c>
      <c r="O3" s="189">
        <f t="shared" si="2"/>
        <v>1</v>
      </c>
      <c r="P3" s="189">
        <f t="shared" si="2"/>
        <v>2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86</v>
      </c>
      <c r="D4" s="191">
        <f t="shared" ref="D4:J4" si="3">SUMPRODUCT(D10:D90,MOD(ROW(D10:D90),2))</f>
        <v>16</v>
      </c>
      <c r="E4" s="191">
        <f t="shared" si="3"/>
        <v>7</v>
      </c>
      <c r="F4" s="191">
        <f t="shared" si="3"/>
        <v>0</v>
      </c>
      <c r="G4" s="191">
        <f t="shared" si="3"/>
        <v>3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93</v>
      </c>
      <c r="M4" s="191">
        <f t="shared" ref="M4:S4" si="4">SUMPRODUCT(M10:M90,MOD(ROW(M10:M90),2))</f>
        <v>19</v>
      </c>
      <c r="N4" s="191">
        <f t="shared" si="4"/>
        <v>4</v>
      </c>
      <c r="O4" s="191">
        <f t="shared" si="4"/>
        <v>1</v>
      </c>
      <c r="P4" s="191">
        <f t="shared" si="4"/>
        <v>1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Garcia %</v>
      </c>
      <c r="D5" s="137">
        <f t="shared" ref="D5:D6" si="6">IFERROR((E3/(E3+D3)),0)</f>
        <v>0.1304347826</v>
      </c>
      <c r="K5" s="135"/>
      <c r="L5" s="136" t="str">
        <f t="shared" ref="L5:L6" si="7">IFERROR((L10 &amp;" %"), "")</f>
        <v> Cashman %</v>
      </c>
      <c r="M5" s="137">
        <f t="shared" ref="M5:M6" si="8">IFERROR((N3/(N3+M3)),0)</f>
        <v>0.2173913043</v>
      </c>
      <c r="S5" s="132"/>
      <c r="T5" s="132"/>
      <c r="U5" s="7"/>
    </row>
    <row r="6">
      <c r="A6" s="14"/>
      <c r="B6" s="138"/>
      <c r="C6" s="139" t="str">
        <f t="shared" si="5"/>
        <v> Tolsma %</v>
      </c>
      <c r="D6" s="140">
        <f t="shared" si="6"/>
        <v>0.3043478261</v>
      </c>
      <c r="E6" s="141"/>
      <c r="F6" s="141"/>
      <c r="G6" s="141"/>
      <c r="H6" s="141"/>
      <c r="I6" s="141"/>
      <c r="J6" s="141"/>
      <c r="K6" s="138"/>
      <c r="L6" s="139" t="str">
        <f t="shared" si="7"/>
        <v> Israel %</v>
      </c>
      <c r="M6" s="142">
        <f t="shared" si="8"/>
        <v>0.1739130435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Garcia")</f>
        <v> Garcia</v>
      </c>
      <c r="D10" s="200">
        <v>1.0</v>
      </c>
      <c r="E10" s="205"/>
      <c r="F10" s="199"/>
      <c r="G10" s="127">
        <v>1.0</v>
      </c>
      <c r="H10" s="177"/>
      <c r="I10" s="177"/>
      <c r="K10" s="129">
        <v>1.0</v>
      </c>
      <c r="L10" s="136" t="str">
        <f>IFERROR(__xludf.DUMMYFUNCTION("REGEXEXTRACT(L3, ""( .*)+"")")," Cashman")</f>
        <v> Cashman</v>
      </c>
      <c r="M10" s="197"/>
      <c r="N10" s="198">
        <v>1.0</v>
      </c>
      <c r="O10" s="177"/>
      <c r="P10" s="199"/>
      <c r="Q10" s="177"/>
      <c r="R10" s="177"/>
      <c r="T10" s="132"/>
      <c r="U10" s="7"/>
    </row>
    <row r="11">
      <c r="A11" s="8"/>
      <c r="B11" s="129">
        <v>1.0</v>
      </c>
      <c r="C11" s="136" t="str">
        <f>IFERROR(__xludf.DUMMYFUNCTION("REGEXEXTRACT(C4, ""( .*)+"")")," Tolsma")</f>
        <v> Tolsma</v>
      </c>
      <c r="D11" s="202">
        <v>1.0</v>
      </c>
      <c r="E11" s="203"/>
      <c r="F11" s="177"/>
      <c r="G11" s="177"/>
      <c r="H11" s="177"/>
      <c r="I11" s="177"/>
      <c r="K11" s="129">
        <v>1.0</v>
      </c>
      <c r="L11" s="136" t="str">
        <f>IFERROR(__xludf.DUMMYFUNCTION("REGEXEXTRACT(L4, ""( .*)+"")")," Israel")</f>
        <v> Israel</v>
      </c>
      <c r="M11" s="202">
        <v>1.0</v>
      </c>
      <c r="N11" s="203"/>
      <c r="O11" s="177"/>
      <c r="P11" s="177"/>
      <c r="Q11" s="177"/>
      <c r="R11" s="177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Garcia</v>
      </c>
      <c r="D12" s="202">
        <v>1.0</v>
      </c>
      <c r="E12" s="203"/>
      <c r="F12" s="177"/>
      <c r="G12" s="177"/>
      <c r="H12" s="177"/>
      <c r="I12" s="177"/>
      <c r="K12" s="129">
        <f t="shared" ref="K12:K69" si="11">K10+1</f>
        <v>2</v>
      </c>
      <c r="L12" s="156" t="str">
        <f t="shared" ref="L12:L89" si="12">L10</f>
        <v> Cashman</v>
      </c>
      <c r="M12" s="200">
        <v>1.0</v>
      </c>
      <c r="N12" s="201"/>
      <c r="O12" s="177"/>
      <c r="P12" s="177"/>
      <c r="Q12" s="177"/>
      <c r="R12" s="177"/>
      <c r="T12" s="132"/>
      <c r="U12" s="7"/>
    </row>
    <row r="13">
      <c r="A13" s="14"/>
      <c r="B13" s="135">
        <f t="shared" si="9"/>
        <v>2</v>
      </c>
      <c r="C13" s="156" t="str">
        <f t="shared" si="10"/>
        <v> Tolsma</v>
      </c>
      <c r="D13" s="200">
        <v>1.0</v>
      </c>
      <c r="E13" s="201"/>
      <c r="F13" s="177"/>
      <c r="G13" s="191"/>
      <c r="H13" s="177"/>
      <c r="I13" s="177"/>
      <c r="K13" s="135">
        <f t="shared" si="11"/>
        <v>2</v>
      </c>
      <c r="L13" s="156" t="str">
        <f t="shared" si="12"/>
        <v> Israel</v>
      </c>
      <c r="M13" s="208"/>
      <c r="N13" s="207">
        <v>1.0</v>
      </c>
      <c r="O13" s="177"/>
      <c r="P13" s="177"/>
      <c r="Q13" s="177"/>
      <c r="R13" s="177"/>
      <c r="T13" s="132"/>
      <c r="U13" s="7"/>
    </row>
    <row r="14">
      <c r="A14" s="8"/>
      <c r="B14" s="129">
        <f t="shared" si="9"/>
        <v>3</v>
      </c>
      <c r="C14" s="156" t="str">
        <f t="shared" si="10"/>
        <v> Garcia</v>
      </c>
      <c r="D14" s="202">
        <v>1.0</v>
      </c>
      <c r="E14" s="203"/>
      <c r="F14" s="177"/>
      <c r="G14" s="177"/>
      <c r="H14" s="177"/>
      <c r="I14" s="177"/>
      <c r="K14" s="129">
        <f t="shared" si="11"/>
        <v>3</v>
      </c>
      <c r="L14" s="156" t="str">
        <f t="shared" si="12"/>
        <v> Cashman</v>
      </c>
      <c r="M14" s="202">
        <v>1.0</v>
      </c>
      <c r="N14" s="188"/>
      <c r="O14" s="177"/>
      <c r="P14" s="177"/>
      <c r="Q14" s="177"/>
      <c r="R14" s="177"/>
      <c r="T14" s="132"/>
      <c r="U14" s="7"/>
    </row>
    <row r="15">
      <c r="A15" s="14"/>
      <c r="B15" s="135">
        <f t="shared" si="9"/>
        <v>3</v>
      </c>
      <c r="C15" s="156" t="str">
        <f t="shared" si="10"/>
        <v> Tolsma</v>
      </c>
      <c r="D15" s="197"/>
      <c r="E15" s="198">
        <v>1.0</v>
      </c>
      <c r="F15" s="177"/>
      <c r="G15" s="177"/>
      <c r="H15" s="177"/>
      <c r="I15" s="177"/>
      <c r="K15" s="135">
        <f t="shared" si="11"/>
        <v>3</v>
      </c>
      <c r="L15" s="156" t="str">
        <f t="shared" si="12"/>
        <v> Israel</v>
      </c>
      <c r="M15" s="197"/>
      <c r="N15" s="198">
        <v>1.0</v>
      </c>
      <c r="O15" s="177"/>
      <c r="P15" s="177"/>
      <c r="Q15" s="177"/>
      <c r="R15" s="177"/>
      <c r="T15" s="132"/>
      <c r="U15" s="7"/>
    </row>
    <row r="16">
      <c r="A16" s="8"/>
      <c r="B16" s="129">
        <f t="shared" si="9"/>
        <v>4</v>
      </c>
      <c r="C16" s="156" t="str">
        <f t="shared" si="10"/>
        <v> Garcia</v>
      </c>
      <c r="D16" s="197"/>
      <c r="E16" s="198">
        <v>1.0</v>
      </c>
      <c r="F16" s="177"/>
      <c r="G16" s="177"/>
      <c r="H16" s="177"/>
      <c r="I16" s="177"/>
      <c r="K16" s="129">
        <f t="shared" si="11"/>
        <v>4</v>
      </c>
      <c r="L16" s="156" t="str">
        <f t="shared" si="12"/>
        <v> Cashman</v>
      </c>
      <c r="M16" s="197"/>
      <c r="N16" s="198">
        <v>1.0</v>
      </c>
      <c r="O16" s="177"/>
      <c r="P16" s="177"/>
      <c r="Q16" s="177"/>
      <c r="R16" s="177"/>
      <c r="T16" s="132"/>
      <c r="U16" s="7"/>
    </row>
    <row r="17">
      <c r="A17" s="14"/>
      <c r="B17" s="135">
        <f t="shared" si="9"/>
        <v>4</v>
      </c>
      <c r="C17" s="156" t="str">
        <f t="shared" si="10"/>
        <v> Tolsma</v>
      </c>
      <c r="D17" s="200">
        <v>1.0</v>
      </c>
      <c r="E17" s="201"/>
      <c r="F17" s="177"/>
      <c r="G17" s="177"/>
      <c r="H17" s="177"/>
      <c r="I17" s="177"/>
      <c r="K17" s="135">
        <f t="shared" si="11"/>
        <v>4</v>
      </c>
      <c r="L17" s="156" t="str">
        <f t="shared" si="12"/>
        <v> Israel</v>
      </c>
      <c r="M17" s="202">
        <v>1.0</v>
      </c>
      <c r="N17" s="203"/>
      <c r="O17" s="177"/>
      <c r="P17" s="177"/>
      <c r="Q17" s="177"/>
      <c r="R17" s="177"/>
      <c r="T17" s="132"/>
      <c r="U17" s="7"/>
    </row>
    <row r="18">
      <c r="A18" s="8"/>
      <c r="B18" s="129">
        <f t="shared" si="9"/>
        <v>5</v>
      </c>
      <c r="C18" s="156" t="str">
        <f t="shared" si="10"/>
        <v> Garcia</v>
      </c>
      <c r="D18" s="200">
        <v>1.0</v>
      </c>
      <c r="E18" s="201"/>
      <c r="F18" s="177"/>
      <c r="G18" s="217">
        <v>1.0</v>
      </c>
      <c r="H18" s="177"/>
      <c r="I18" s="177"/>
      <c r="K18" s="129">
        <f t="shared" si="11"/>
        <v>5</v>
      </c>
      <c r="L18" s="156" t="str">
        <f t="shared" si="12"/>
        <v> Cashman</v>
      </c>
      <c r="M18" s="200">
        <v>1.0</v>
      </c>
      <c r="N18" s="205"/>
      <c r="O18" s="177"/>
      <c r="P18" s="177"/>
      <c r="Q18" s="177"/>
      <c r="R18" s="177"/>
      <c r="T18" s="132"/>
      <c r="U18" s="7"/>
    </row>
    <row r="19">
      <c r="A19" s="14"/>
      <c r="B19" s="135">
        <f t="shared" si="9"/>
        <v>5</v>
      </c>
      <c r="C19" s="156" t="str">
        <f t="shared" si="10"/>
        <v> Tolsma</v>
      </c>
      <c r="D19" s="197"/>
      <c r="E19" s="198">
        <v>1.0</v>
      </c>
      <c r="F19" s="177"/>
      <c r="G19" s="177"/>
      <c r="H19" s="177"/>
      <c r="I19" s="177"/>
      <c r="K19" s="135">
        <f t="shared" si="11"/>
        <v>5</v>
      </c>
      <c r="L19" s="156" t="str">
        <f t="shared" si="12"/>
        <v> Israel</v>
      </c>
      <c r="M19" s="202">
        <v>1.0</v>
      </c>
      <c r="N19" s="203"/>
      <c r="O19" s="177"/>
      <c r="P19" s="177"/>
      <c r="Q19" s="177"/>
      <c r="R19" s="177"/>
      <c r="T19" s="132"/>
      <c r="U19" s="7"/>
    </row>
    <row r="20">
      <c r="A20" s="8"/>
      <c r="B20" s="129">
        <f t="shared" si="9"/>
        <v>6</v>
      </c>
      <c r="C20" s="156" t="str">
        <f t="shared" si="10"/>
        <v> Garcia</v>
      </c>
      <c r="D20" s="200">
        <v>1.0</v>
      </c>
      <c r="E20" s="201"/>
      <c r="F20" s="177"/>
      <c r="G20" s="177"/>
      <c r="H20" s="177"/>
      <c r="I20" s="177"/>
      <c r="K20" s="129">
        <f t="shared" si="11"/>
        <v>6</v>
      </c>
      <c r="L20" s="156" t="str">
        <f t="shared" si="12"/>
        <v> Cashman</v>
      </c>
      <c r="M20" s="197"/>
      <c r="N20" s="198">
        <v>1.0</v>
      </c>
      <c r="O20" s="177"/>
      <c r="P20" s="177"/>
      <c r="Q20" s="177"/>
      <c r="R20" s="177"/>
      <c r="T20" s="132"/>
      <c r="U20" s="7"/>
    </row>
    <row r="21">
      <c r="A21" s="14"/>
      <c r="B21" s="135">
        <f t="shared" si="9"/>
        <v>6</v>
      </c>
      <c r="C21" s="156" t="str">
        <f t="shared" si="10"/>
        <v> Tolsma</v>
      </c>
      <c r="D21" s="200">
        <v>1.0</v>
      </c>
      <c r="E21" s="205"/>
      <c r="F21" s="177"/>
      <c r="G21" s="127">
        <v>1.0</v>
      </c>
      <c r="H21" s="177"/>
      <c r="I21" s="177"/>
      <c r="K21" s="135">
        <f t="shared" si="11"/>
        <v>6</v>
      </c>
      <c r="L21" s="156" t="str">
        <f t="shared" si="12"/>
        <v> Israel</v>
      </c>
      <c r="M21" s="200">
        <v>1.0</v>
      </c>
      <c r="N21" s="205"/>
      <c r="O21" s="177"/>
      <c r="P21" s="177"/>
      <c r="Q21" s="177"/>
      <c r="R21" s="177"/>
      <c r="T21" s="132"/>
      <c r="U21" s="7"/>
    </row>
    <row r="22">
      <c r="A22" s="8"/>
      <c r="B22" s="129">
        <f t="shared" si="9"/>
        <v>7</v>
      </c>
      <c r="C22" s="156" t="str">
        <f t="shared" si="10"/>
        <v> Garcia</v>
      </c>
      <c r="D22" s="202">
        <v>1.0</v>
      </c>
      <c r="E22" s="188"/>
      <c r="F22" s="177"/>
      <c r="G22" s="177"/>
      <c r="H22" s="177"/>
      <c r="I22" s="177"/>
      <c r="K22" s="129">
        <f t="shared" si="11"/>
        <v>7</v>
      </c>
      <c r="L22" s="156" t="str">
        <f t="shared" si="12"/>
        <v> Cashman</v>
      </c>
      <c r="M22" s="200">
        <v>1.0</v>
      </c>
      <c r="N22" s="205"/>
      <c r="O22" s="177"/>
      <c r="P22" s="127">
        <v>1.0</v>
      </c>
      <c r="Q22" s="177"/>
      <c r="R22" s="177"/>
      <c r="T22" s="132"/>
      <c r="U22" s="7"/>
    </row>
    <row r="23">
      <c r="A23" s="14"/>
      <c r="B23" s="135">
        <f t="shared" si="9"/>
        <v>7</v>
      </c>
      <c r="C23" s="156" t="str">
        <f t="shared" si="10"/>
        <v> Tolsma</v>
      </c>
      <c r="D23" s="200">
        <v>1.0</v>
      </c>
      <c r="E23" s="205"/>
      <c r="F23" s="177"/>
      <c r="G23" s="177"/>
      <c r="H23" s="177"/>
      <c r="I23" s="177"/>
      <c r="K23" s="135">
        <f t="shared" si="11"/>
        <v>7</v>
      </c>
      <c r="L23" s="156" t="str">
        <f t="shared" si="12"/>
        <v> Israel</v>
      </c>
      <c r="M23" s="197"/>
      <c r="N23" s="198">
        <v>1.0</v>
      </c>
      <c r="O23" s="177"/>
      <c r="P23" s="177"/>
      <c r="Q23" s="177"/>
      <c r="R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 Garcia</v>
      </c>
      <c r="D24" s="197"/>
      <c r="E24" s="198">
        <v>1.0</v>
      </c>
      <c r="F24" s="177"/>
      <c r="G24" s="177"/>
      <c r="H24" s="177"/>
      <c r="I24" s="177"/>
      <c r="K24" s="129">
        <f t="shared" si="11"/>
        <v>8</v>
      </c>
      <c r="L24" s="156" t="str">
        <f t="shared" si="12"/>
        <v> Cashman</v>
      </c>
      <c r="M24" s="202">
        <v>1.0</v>
      </c>
      <c r="N24" s="188"/>
      <c r="O24" s="177"/>
      <c r="P24" s="177"/>
      <c r="Q24" s="177"/>
      <c r="R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 Tolsma</v>
      </c>
      <c r="D25" s="202">
        <v>1.0</v>
      </c>
      <c r="E25" s="188"/>
      <c r="F25" s="177"/>
      <c r="G25" s="177"/>
      <c r="H25" s="177"/>
      <c r="I25" s="177"/>
      <c r="K25" s="135">
        <f t="shared" si="11"/>
        <v>8</v>
      </c>
      <c r="L25" s="156" t="str">
        <f t="shared" si="12"/>
        <v> Israel</v>
      </c>
      <c r="M25" s="202">
        <v>1.0</v>
      </c>
      <c r="N25" s="203"/>
      <c r="O25" s="177"/>
      <c r="P25" s="177"/>
      <c r="Q25" s="177"/>
      <c r="R25" s="177"/>
      <c r="T25" s="132"/>
      <c r="U25" s="7"/>
    </row>
    <row r="26">
      <c r="A26" s="8"/>
      <c r="B26" s="129">
        <f t="shared" si="9"/>
        <v>9</v>
      </c>
      <c r="C26" s="156" t="str">
        <f t="shared" si="10"/>
        <v> Garcia</v>
      </c>
      <c r="D26" s="202">
        <v>1.0</v>
      </c>
      <c r="E26" s="188"/>
      <c r="F26" s="177"/>
      <c r="G26" s="177"/>
      <c r="H26" s="177"/>
      <c r="I26" s="177"/>
      <c r="K26" s="129">
        <f t="shared" si="11"/>
        <v>9</v>
      </c>
      <c r="L26" s="156" t="str">
        <f t="shared" si="12"/>
        <v> Cashman</v>
      </c>
      <c r="M26" s="200">
        <v>1.0</v>
      </c>
      <c r="N26" s="205"/>
      <c r="O26" s="177"/>
      <c r="P26" s="177"/>
      <c r="Q26" s="177"/>
      <c r="R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 Tolsma</v>
      </c>
      <c r="D27" s="208"/>
      <c r="E27" s="207">
        <v>1.0</v>
      </c>
      <c r="F27" s="177"/>
      <c r="G27" s="177"/>
      <c r="H27" s="177"/>
      <c r="I27" s="177"/>
      <c r="K27" s="135">
        <f t="shared" si="11"/>
        <v>9</v>
      </c>
      <c r="L27" s="156" t="str">
        <f t="shared" si="12"/>
        <v> Israel</v>
      </c>
      <c r="M27" s="200">
        <v>1.0</v>
      </c>
      <c r="N27" s="205"/>
      <c r="O27" s="177"/>
      <c r="P27" s="177"/>
      <c r="Q27" s="177"/>
      <c r="R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 Garcia</v>
      </c>
      <c r="D28" s="200">
        <v>1.0</v>
      </c>
      <c r="E28" s="205"/>
      <c r="F28" s="177"/>
      <c r="G28" s="191"/>
      <c r="H28" s="177"/>
      <c r="I28" s="177"/>
      <c r="K28" s="129">
        <f t="shared" si="11"/>
        <v>10</v>
      </c>
      <c r="L28" s="156" t="str">
        <f t="shared" si="12"/>
        <v> Cashman</v>
      </c>
      <c r="M28" s="197"/>
      <c r="N28" s="198">
        <v>1.0</v>
      </c>
      <c r="O28" s="177"/>
      <c r="P28" s="177"/>
      <c r="Q28" s="177"/>
      <c r="R28" s="177"/>
      <c r="T28" s="132"/>
      <c r="U28" s="7"/>
    </row>
    <row r="29">
      <c r="A29" s="14"/>
      <c r="B29" s="135">
        <f t="shared" si="9"/>
        <v>10</v>
      </c>
      <c r="C29" s="156" t="str">
        <f t="shared" si="10"/>
        <v> Tolsma</v>
      </c>
      <c r="D29" s="197"/>
      <c r="E29" s="198">
        <v>1.0</v>
      </c>
      <c r="F29" s="177"/>
      <c r="G29" s="177"/>
      <c r="H29" s="177"/>
      <c r="I29" s="177"/>
      <c r="K29" s="135">
        <f t="shared" si="11"/>
        <v>10</v>
      </c>
      <c r="L29" s="156" t="str">
        <f t="shared" si="12"/>
        <v> Israel</v>
      </c>
      <c r="M29" s="200">
        <v>1.0</v>
      </c>
      <c r="N29" s="205"/>
      <c r="O29" s="177"/>
      <c r="P29" s="177"/>
      <c r="Q29" s="177"/>
      <c r="R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 Garcia</v>
      </c>
      <c r="D30" s="200">
        <v>1.0</v>
      </c>
      <c r="E30" s="205"/>
      <c r="F30" s="177"/>
      <c r="G30" s="127">
        <v>1.0</v>
      </c>
      <c r="H30" s="177"/>
      <c r="I30" s="177"/>
      <c r="K30" s="129">
        <f t="shared" si="11"/>
        <v>11</v>
      </c>
      <c r="L30" s="156" t="str">
        <f t="shared" si="12"/>
        <v> Cashman</v>
      </c>
      <c r="M30" s="200">
        <v>1.0</v>
      </c>
      <c r="N30" s="205"/>
      <c r="O30" s="177"/>
      <c r="P30" s="177"/>
      <c r="Q30" s="177"/>
      <c r="R30" s="177"/>
      <c r="T30" s="132"/>
      <c r="U30" s="7"/>
    </row>
    <row r="31">
      <c r="A31" s="14"/>
      <c r="B31" s="135">
        <f t="shared" si="9"/>
        <v>11</v>
      </c>
      <c r="C31" s="156" t="str">
        <f t="shared" si="10"/>
        <v> Tolsma</v>
      </c>
      <c r="D31" s="200">
        <v>1.0</v>
      </c>
      <c r="E31" s="205"/>
      <c r="F31" s="177"/>
      <c r="G31" s="127">
        <v>1.0</v>
      </c>
      <c r="H31" s="177"/>
      <c r="I31" s="177"/>
      <c r="K31" s="135">
        <f t="shared" si="11"/>
        <v>11</v>
      </c>
      <c r="L31" s="156" t="str">
        <f t="shared" si="12"/>
        <v> Israel</v>
      </c>
      <c r="M31" s="202">
        <v>1.0</v>
      </c>
      <c r="N31" s="203"/>
      <c r="O31" s="177"/>
      <c r="P31" s="177"/>
      <c r="Q31" s="177"/>
      <c r="R31" s="177"/>
      <c r="T31" s="132"/>
      <c r="U31" s="7"/>
    </row>
    <row r="32">
      <c r="A32" s="8"/>
      <c r="B32" s="129">
        <f t="shared" si="9"/>
        <v>12</v>
      </c>
      <c r="C32" s="156" t="str">
        <f t="shared" si="10"/>
        <v> Garcia</v>
      </c>
      <c r="D32" s="200">
        <v>1.0</v>
      </c>
      <c r="E32" s="205"/>
      <c r="F32" s="177"/>
      <c r="G32" s="177"/>
      <c r="H32" s="177"/>
      <c r="I32" s="177"/>
      <c r="K32" s="129">
        <f t="shared" si="11"/>
        <v>12</v>
      </c>
      <c r="L32" s="156" t="str">
        <f t="shared" si="12"/>
        <v> Cashman</v>
      </c>
      <c r="M32" s="200"/>
      <c r="N32" s="198">
        <v>1.0</v>
      </c>
      <c r="O32" s="177"/>
      <c r="P32" s="177"/>
      <c r="Q32" s="177"/>
      <c r="R32" s="177"/>
      <c r="T32" s="132"/>
      <c r="U32" s="7"/>
    </row>
    <row r="33">
      <c r="A33" s="14"/>
      <c r="B33" s="135">
        <f t="shared" si="9"/>
        <v>12</v>
      </c>
      <c r="C33" s="156" t="str">
        <f t="shared" si="10"/>
        <v> Tolsma</v>
      </c>
      <c r="D33" s="200">
        <v>1.0</v>
      </c>
      <c r="E33" s="205"/>
      <c r="F33" s="177"/>
      <c r="G33" s="177"/>
      <c r="H33" s="177"/>
      <c r="I33" s="177"/>
      <c r="K33" s="135">
        <f t="shared" si="11"/>
        <v>12</v>
      </c>
      <c r="L33" s="156" t="str">
        <f t="shared" si="12"/>
        <v> Israel</v>
      </c>
      <c r="M33" s="200">
        <v>1.0</v>
      </c>
      <c r="N33" s="201"/>
      <c r="O33" s="177"/>
      <c r="P33" s="177"/>
      <c r="Q33" s="177"/>
      <c r="R33" s="177"/>
      <c r="T33" s="132"/>
      <c r="U33" s="7"/>
    </row>
    <row r="34">
      <c r="A34" s="8"/>
      <c r="B34" s="129">
        <f t="shared" si="9"/>
        <v>13</v>
      </c>
      <c r="C34" s="156" t="str">
        <f t="shared" si="10"/>
        <v> Garcia</v>
      </c>
      <c r="D34" s="200">
        <v>1.0</v>
      </c>
      <c r="E34" s="205"/>
      <c r="F34" s="177"/>
      <c r="G34" s="177"/>
      <c r="H34" s="177"/>
      <c r="I34" s="177"/>
      <c r="K34" s="129">
        <f t="shared" si="11"/>
        <v>13</v>
      </c>
      <c r="L34" s="156" t="str">
        <f t="shared" si="12"/>
        <v> Cashman</v>
      </c>
      <c r="M34" s="202">
        <v>1.0</v>
      </c>
      <c r="N34" s="188"/>
      <c r="O34" s="177"/>
      <c r="P34" s="177"/>
      <c r="Q34" s="177"/>
      <c r="R34" s="177"/>
      <c r="T34" s="132"/>
      <c r="U34" s="7"/>
    </row>
    <row r="35">
      <c r="A35" s="14"/>
      <c r="B35" s="135">
        <f t="shared" si="9"/>
        <v>13</v>
      </c>
      <c r="C35" s="156" t="str">
        <f t="shared" si="10"/>
        <v> Tolsma</v>
      </c>
      <c r="D35" s="208"/>
      <c r="E35" s="207">
        <v>1.0</v>
      </c>
      <c r="F35" s="177"/>
      <c r="G35" s="177"/>
      <c r="H35" s="177"/>
      <c r="I35" s="177"/>
      <c r="K35" s="135">
        <f t="shared" si="11"/>
        <v>13</v>
      </c>
      <c r="L35" s="156" t="str">
        <f t="shared" si="12"/>
        <v> Israel</v>
      </c>
      <c r="M35" s="200">
        <v>1.0</v>
      </c>
      <c r="N35" s="205"/>
      <c r="O35" s="177"/>
      <c r="P35" s="177"/>
      <c r="Q35" s="177"/>
      <c r="R35" s="177"/>
      <c r="T35" s="132"/>
      <c r="U35" s="7"/>
    </row>
    <row r="36">
      <c r="A36" s="8"/>
      <c r="B36" s="129">
        <f t="shared" si="9"/>
        <v>14</v>
      </c>
      <c r="C36" s="156" t="str">
        <f t="shared" si="10"/>
        <v> Garcia</v>
      </c>
      <c r="D36" s="208"/>
      <c r="E36" s="198">
        <v>1.0</v>
      </c>
      <c r="F36" s="177"/>
      <c r="G36" s="177"/>
      <c r="H36" s="177"/>
      <c r="I36" s="177"/>
      <c r="K36" s="129">
        <f t="shared" si="11"/>
        <v>14</v>
      </c>
      <c r="L36" s="156" t="str">
        <f t="shared" si="12"/>
        <v> Cashman</v>
      </c>
      <c r="M36" s="202">
        <v>1.0</v>
      </c>
      <c r="N36" s="205"/>
      <c r="O36" s="177"/>
      <c r="P36" s="177"/>
      <c r="Q36" s="177"/>
      <c r="R36" s="177"/>
      <c r="T36" s="132"/>
      <c r="U36" s="7"/>
    </row>
    <row r="37">
      <c r="A37" s="14"/>
      <c r="B37" s="135">
        <f t="shared" si="9"/>
        <v>14</v>
      </c>
      <c r="C37" s="156" t="str">
        <f t="shared" si="10"/>
        <v> Tolsma</v>
      </c>
      <c r="D37" s="202">
        <v>1.0</v>
      </c>
      <c r="E37" s="188"/>
      <c r="F37" s="177"/>
      <c r="G37" s="177"/>
      <c r="H37" s="177"/>
      <c r="I37" s="177"/>
      <c r="K37" s="135">
        <f t="shared" si="11"/>
        <v>14</v>
      </c>
      <c r="L37" s="156" t="str">
        <f t="shared" si="12"/>
        <v> Israel</v>
      </c>
      <c r="M37" s="202">
        <v>1.0</v>
      </c>
      <c r="N37" s="188"/>
      <c r="O37" s="177"/>
      <c r="P37" s="177"/>
      <c r="Q37" s="177"/>
      <c r="R37" s="177"/>
      <c r="T37" s="132"/>
      <c r="U37" s="7"/>
    </row>
    <row r="38">
      <c r="A38" s="8"/>
      <c r="B38" s="129">
        <f t="shared" si="9"/>
        <v>15</v>
      </c>
      <c r="C38" s="156" t="str">
        <f t="shared" si="10"/>
        <v> Garcia</v>
      </c>
      <c r="D38" s="202">
        <v>1.0</v>
      </c>
      <c r="E38" s="205"/>
      <c r="F38" s="177"/>
      <c r="G38" s="177"/>
      <c r="H38" s="177"/>
      <c r="I38" s="177"/>
      <c r="K38" s="129">
        <f t="shared" si="11"/>
        <v>15</v>
      </c>
      <c r="L38" s="156" t="str">
        <f t="shared" si="12"/>
        <v> Cashman</v>
      </c>
      <c r="M38" s="202">
        <v>1.0</v>
      </c>
      <c r="N38" s="205"/>
      <c r="O38" s="177"/>
      <c r="P38" s="177"/>
      <c r="Q38" s="177"/>
      <c r="R38" s="177"/>
      <c r="T38" s="132"/>
      <c r="U38" s="7"/>
    </row>
    <row r="39">
      <c r="A39" s="14"/>
      <c r="B39" s="135">
        <f t="shared" si="9"/>
        <v>15</v>
      </c>
      <c r="C39" s="156" t="str">
        <f t="shared" si="10"/>
        <v> Tolsma</v>
      </c>
      <c r="D39" s="200">
        <v>1.0</v>
      </c>
      <c r="E39" s="205"/>
      <c r="F39" s="177"/>
      <c r="G39" s="127">
        <v>1.0</v>
      </c>
      <c r="H39" s="177"/>
      <c r="I39" s="177"/>
      <c r="K39" s="135">
        <f t="shared" si="11"/>
        <v>15</v>
      </c>
      <c r="L39" s="156" t="str">
        <f t="shared" si="12"/>
        <v> Israel</v>
      </c>
      <c r="M39" s="202">
        <v>1.0</v>
      </c>
      <c r="N39" s="205"/>
      <c r="O39" s="177"/>
      <c r="P39" s="177"/>
      <c r="Q39" s="177"/>
      <c r="R39" s="177"/>
      <c r="T39" s="132"/>
      <c r="U39" s="7"/>
    </row>
    <row r="40">
      <c r="A40" s="8"/>
      <c r="B40" s="129">
        <f t="shared" si="9"/>
        <v>16</v>
      </c>
      <c r="C40" s="156" t="str">
        <f t="shared" si="10"/>
        <v> Garcia</v>
      </c>
      <c r="D40" s="180">
        <v>1.0</v>
      </c>
      <c r="E40" s="179"/>
      <c r="F40" s="177"/>
      <c r="G40" s="127">
        <v>1.0</v>
      </c>
      <c r="H40" s="177"/>
      <c r="I40" s="177"/>
      <c r="K40" s="129">
        <f t="shared" si="11"/>
        <v>16</v>
      </c>
      <c r="L40" s="156" t="str">
        <f t="shared" si="12"/>
        <v> Cashman</v>
      </c>
      <c r="M40" s="202">
        <v>1.0</v>
      </c>
      <c r="N40" s="205"/>
      <c r="O40" s="177"/>
      <c r="P40" s="177"/>
      <c r="Q40" s="177"/>
      <c r="R40" s="177"/>
      <c r="T40" s="132"/>
      <c r="U40" s="7"/>
    </row>
    <row r="41">
      <c r="A41" s="14"/>
      <c r="B41" s="135">
        <f t="shared" si="9"/>
        <v>16</v>
      </c>
      <c r="C41" s="156" t="str">
        <f t="shared" si="10"/>
        <v> Tolsma</v>
      </c>
      <c r="D41" s="180">
        <v>1.0</v>
      </c>
      <c r="E41" s="181"/>
      <c r="F41" s="177"/>
      <c r="G41" s="177"/>
      <c r="H41" s="177"/>
      <c r="I41" s="177"/>
      <c r="K41" s="135">
        <f t="shared" si="11"/>
        <v>16</v>
      </c>
      <c r="L41" s="156" t="str">
        <f t="shared" si="12"/>
        <v> Israel</v>
      </c>
      <c r="M41" s="202">
        <v>1.0</v>
      </c>
      <c r="N41" s="201"/>
      <c r="O41" s="177"/>
      <c r="P41" s="177"/>
      <c r="Q41" s="177"/>
      <c r="R41" s="177"/>
      <c r="T41" s="132"/>
      <c r="U41" s="7"/>
    </row>
    <row r="42">
      <c r="A42" s="8"/>
      <c r="B42" s="129">
        <f t="shared" si="9"/>
        <v>17</v>
      </c>
      <c r="C42" s="156" t="str">
        <f t="shared" si="10"/>
        <v> Garcia</v>
      </c>
      <c r="D42" s="180">
        <v>1.0</v>
      </c>
      <c r="E42" s="181"/>
      <c r="F42" s="177"/>
      <c r="G42" s="177"/>
      <c r="H42" s="177"/>
      <c r="I42" s="177"/>
      <c r="K42" s="129">
        <f t="shared" si="11"/>
        <v>17</v>
      </c>
      <c r="L42" s="156" t="str">
        <f t="shared" si="12"/>
        <v> Cashman</v>
      </c>
      <c r="M42" s="202">
        <v>1.0</v>
      </c>
      <c r="N42" s="205"/>
      <c r="O42" s="177"/>
      <c r="P42" s="127">
        <v>1.0</v>
      </c>
      <c r="Q42" s="177"/>
      <c r="R42" s="177"/>
      <c r="T42" s="132"/>
      <c r="U42" s="7"/>
    </row>
    <row r="43">
      <c r="A43" s="14"/>
      <c r="B43" s="135">
        <f t="shared" si="9"/>
        <v>17</v>
      </c>
      <c r="C43" s="156" t="str">
        <f t="shared" si="10"/>
        <v> Tolsma</v>
      </c>
      <c r="D43" s="180">
        <v>1.0</v>
      </c>
      <c r="E43" s="179"/>
      <c r="F43" s="177"/>
      <c r="G43" s="177"/>
      <c r="H43" s="177"/>
      <c r="I43" s="177"/>
      <c r="K43" s="135">
        <f t="shared" si="11"/>
        <v>17</v>
      </c>
      <c r="L43" s="156" t="str">
        <f t="shared" si="12"/>
        <v> Israel</v>
      </c>
      <c r="M43" s="180">
        <v>1.0</v>
      </c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Garcia</v>
      </c>
      <c r="D44" s="180">
        <v>1.0</v>
      </c>
      <c r="E44" s="181"/>
      <c r="F44" s="177"/>
      <c r="G44" s="177"/>
      <c r="H44" s="177"/>
      <c r="I44" s="177"/>
      <c r="K44" s="129">
        <f t="shared" si="11"/>
        <v>18</v>
      </c>
      <c r="L44" s="156" t="str">
        <f t="shared" si="12"/>
        <v> Cashman</v>
      </c>
      <c r="M44" s="180">
        <v>1.0</v>
      </c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Tolsma</v>
      </c>
      <c r="D45" s="180"/>
      <c r="E45" s="179">
        <v>1.0</v>
      </c>
      <c r="F45" s="177"/>
      <c r="G45" s="177"/>
      <c r="H45" s="177"/>
      <c r="I45" s="177"/>
      <c r="K45" s="129">
        <f t="shared" si="11"/>
        <v>18</v>
      </c>
      <c r="L45" s="156" t="str">
        <f t="shared" si="12"/>
        <v> Israel</v>
      </c>
      <c r="M45" s="180"/>
      <c r="N45" s="179">
        <v>1.0</v>
      </c>
      <c r="T45" s="132"/>
      <c r="U45" s="7"/>
    </row>
    <row r="46">
      <c r="A46" s="14"/>
      <c r="B46" s="135">
        <f t="shared" si="9"/>
        <v>19</v>
      </c>
      <c r="C46" s="156" t="str">
        <f t="shared" si="10"/>
        <v> Garcia</v>
      </c>
      <c r="D46" s="180">
        <v>1.0</v>
      </c>
      <c r="E46" s="181"/>
      <c r="F46" s="177"/>
      <c r="G46" s="127">
        <v>1.0</v>
      </c>
      <c r="H46" s="177"/>
      <c r="I46" s="177"/>
      <c r="K46" s="135">
        <f t="shared" si="11"/>
        <v>19</v>
      </c>
      <c r="L46" s="156" t="str">
        <f t="shared" si="12"/>
        <v> Cashman</v>
      </c>
      <c r="M46" s="180">
        <v>1.0</v>
      </c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Tolsma</v>
      </c>
      <c r="D47" s="180">
        <v>1.0</v>
      </c>
      <c r="E47" s="181"/>
      <c r="F47" s="177"/>
      <c r="G47" s="177"/>
      <c r="H47" s="177"/>
      <c r="I47" s="177"/>
      <c r="K47" s="129">
        <f t="shared" si="11"/>
        <v>19</v>
      </c>
      <c r="L47" s="156" t="str">
        <f t="shared" si="12"/>
        <v> Israel</v>
      </c>
      <c r="M47" s="180">
        <v>1.0</v>
      </c>
      <c r="N47" s="181"/>
      <c r="P47" s="136">
        <v>1.0</v>
      </c>
      <c r="T47" s="132"/>
      <c r="U47" s="7"/>
    </row>
    <row r="48">
      <c r="A48" s="14"/>
      <c r="B48" s="135">
        <f t="shared" si="9"/>
        <v>20</v>
      </c>
      <c r="C48" s="156" t="str">
        <f t="shared" si="10"/>
        <v> Garcia</v>
      </c>
      <c r="D48" s="180">
        <v>1.0</v>
      </c>
      <c r="E48" s="181"/>
      <c r="F48" s="177"/>
      <c r="G48" s="177"/>
      <c r="H48" s="177"/>
      <c r="I48" s="177"/>
      <c r="K48" s="135">
        <f t="shared" si="11"/>
        <v>20</v>
      </c>
      <c r="L48" s="156" t="str">
        <f t="shared" si="12"/>
        <v> Cashman</v>
      </c>
      <c r="M48" s="180">
        <v>1.0</v>
      </c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Tolsma</v>
      </c>
      <c r="D49" s="180">
        <v>1.0</v>
      </c>
      <c r="E49" s="179"/>
      <c r="F49" s="177"/>
      <c r="G49" s="177"/>
      <c r="H49" s="177"/>
      <c r="I49" s="177"/>
      <c r="K49" s="129">
        <f t="shared" si="11"/>
        <v>20</v>
      </c>
      <c r="L49" s="156" t="str">
        <f t="shared" si="12"/>
        <v> Israel</v>
      </c>
      <c r="M49" s="180">
        <v>1.0</v>
      </c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Garcia</v>
      </c>
      <c r="D50" s="180">
        <v>1.0</v>
      </c>
      <c r="E50" s="181"/>
      <c r="F50" s="177"/>
      <c r="G50" s="127">
        <v>1.0</v>
      </c>
      <c r="H50" s="177"/>
      <c r="I50" s="177"/>
      <c r="K50" s="129">
        <f t="shared" si="11"/>
        <v>21</v>
      </c>
      <c r="L50" s="156" t="str">
        <f t="shared" si="12"/>
        <v> Cashman</v>
      </c>
      <c r="M50" s="180">
        <v>1.0</v>
      </c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Tolsma</v>
      </c>
      <c r="D51" s="180">
        <v>1.0</v>
      </c>
      <c r="E51" s="181"/>
      <c r="F51" s="177"/>
      <c r="G51" s="177"/>
      <c r="H51" s="177"/>
      <c r="I51" s="177"/>
      <c r="K51" s="135">
        <f t="shared" si="11"/>
        <v>21</v>
      </c>
      <c r="L51" s="156" t="str">
        <f t="shared" si="12"/>
        <v> Israel</v>
      </c>
      <c r="M51" s="180">
        <v>1.0</v>
      </c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Garcia</v>
      </c>
      <c r="D52" s="180">
        <v>1.0</v>
      </c>
      <c r="E52" s="181"/>
      <c r="F52" s="177"/>
      <c r="G52" s="177"/>
      <c r="H52" s="177"/>
      <c r="I52" s="177"/>
      <c r="K52" s="129">
        <f t="shared" si="11"/>
        <v>22</v>
      </c>
      <c r="L52" s="156" t="str">
        <f t="shared" si="12"/>
        <v> Cashman</v>
      </c>
      <c r="M52" s="180">
        <v>1.0</v>
      </c>
      <c r="N52" s="181"/>
      <c r="O52" s="136">
        <v>1.0</v>
      </c>
      <c r="T52" s="132"/>
      <c r="U52" s="7"/>
    </row>
    <row r="53">
      <c r="A53" s="14"/>
      <c r="B53" s="135">
        <f t="shared" si="9"/>
        <v>22</v>
      </c>
      <c r="C53" s="156" t="str">
        <f t="shared" si="10"/>
        <v> Tolsma</v>
      </c>
      <c r="D53" s="180">
        <v>1.0</v>
      </c>
      <c r="E53" s="181"/>
      <c r="F53" s="177"/>
      <c r="G53" s="177"/>
      <c r="H53" s="177"/>
      <c r="I53" s="177"/>
      <c r="K53" s="135">
        <f t="shared" si="11"/>
        <v>22</v>
      </c>
      <c r="L53" s="156" t="str">
        <f t="shared" si="12"/>
        <v> Israel</v>
      </c>
      <c r="M53" s="180">
        <v>1.0</v>
      </c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Garcia</v>
      </c>
      <c r="D54" s="180">
        <v>1.0</v>
      </c>
      <c r="E54" s="181"/>
      <c r="F54" s="177"/>
      <c r="G54" s="177"/>
      <c r="H54" s="177"/>
      <c r="I54" s="177"/>
      <c r="K54" s="129">
        <f t="shared" si="11"/>
        <v>23</v>
      </c>
      <c r="L54" s="156" t="str">
        <f t="shared" si="12"/>
        <v> Cashman</v>
      </c>
      <c r="M54" s="180">
        <v>1.0</v>
      </c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Tolsma</v>
      </c>
      <c r="D55" s="178"/>
      <c r="E55" s="179">
        <v>1.0</v>
      </c>
      <c r="K55" s="135">
        <f t="shared" si="11"/>
        <v>23</v>
      </c>
      <c r="L55" s="156" t="str">
        <f t="shared" si="12"/>
        <v> Israel</v>
      </c>
      <c r="M55" s="180">
        <v>1.0</v>
      </c>
      <c r="N55" s="181"/>
      <c r="O55" s="136">
        <v>1.0</v>
      </c>
      <c r="T55" s="132"/>
      <c r="U55" s="7"/>
    </row>
    <row r="56">
      <c r="A56" s="8"/>
      <c r="B56" s="129">
        <f t="shared" si="9"/>
        <v>24</v>
      </c>
      <c r="C56" s="156" t="str">
        <f t="shared" si="10"/>
        <v> Garcia</v>
      </c>
      <c r="D56" s="178"/>
      <c r="E56" s="181"/>
      <c r="K56" s="129">
        <f t="shared" si="11"/>
        <v>24</v>
      </c>
      <c r="L56" s="156" t="str">
        <f t="shared" si="12"/>
        <v> Cashman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Tolsma</v>
      </c>
      <c r="D57" s="178"/>
      <c r="E57" s="181"/>
      <c r="K57" s="129">
        <f t="shared" si="11"/>
        <v>24</v>
      </c>
      <c r="L57" s="156" t="str">
        <f t="shared" si="12"/>
        <v> Israel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Garcia</v>
      </c>
      <c r="D58" s="178"/>
      <c r="E58" s="181"/>
      <c r="K58" s="135">
        <f t="shared" si="11"/>
        <v>25</v>
      </c>
      <c r="L58" s="156" t="str">
        <f t="shared" si="12"/>
        <v> Cashman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Tolsma</v>
      </c>
      <c r="D59" s="178"/>
      <c r="E59" s="181"/>
      <c r="K59" s="129">
        <f t="shared" si="11"/>
        <v>25</v>
      </c>
      <c r="L59" s="156" t="str">
        <f t="shared" si="12"/>
        <v> Israel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Garcia</v>
      </c>
      <c r="D60" s="178"/>
      <c r="E60" s="181"/>
      <c r="K60" s="135">
        <f t="shared" si="11"/>
        <v>26</v>
      </c>
      <c r="L60" s="156" t="str">
        <f t="shared" si="12"/>
        <v> Cashman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Tolsma</v>
      </c>
      <c r="D61" s="178"/>
      <c r="E61" s="181"/>
      <c r="K61" s="129">
        <f t="shared" si="11"/>
        <v>26</v>
      </c>
      <c r="L61" s="156" t="str">
        <f t="shared" si="12"/>
        <v> Israel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Garcia</v>
      </c>
      <c r="D62" s="178"/>
      <c r="E62" s="181"/>
      <c r="K62" s="135">
        <f t="shared" si="11"/>
        <v>27</v>
      </c>
      <c r="L62" s="156" t="str">
        <f t="shared" si="12"/>
        <v> Cashman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Tolsma</v>
      </c>
      <c r="D63" s="178"/>
      <c r="E63" s="181"/>
      <c r="K63" s="129">
        <f t="shared" si="11"/>
        <v>27</v>
      </c>
      <c r="L63" s="156" t="str">
        <f t="shared" si="12"/>
        <v> Israel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Garcia</v>
      </c>
      <c r="D64" s="178"/>
      <c r="E64" s="181"/>
      <c r="K64" s="135">
        <f t="shared" si="11"/>
        <v>28</v>
      </c>
      <c r="L64" s="156" t="str">
        <f t="shared" si="12"/>
        <v> Cashman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Tolsma</v>
      </c>
      <c r="D65" s="178"/>
      <c r="E65" s="181"/>
      <c r="K65" s="129">
        <f t="shared" si="11"/>
        <v>28</v>
      </c>
      <c r="L65" s="156" t="str">
        <f t="shared" si="12"/>
        <v> Israel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Garcia</v>
      </c>
      <c r="D66" s="178"/>
      <c r="E66" s="181"/>
      <c r="K66" s="135">
        <f t="shared" si="11"/>
        <v>29</v>
      </c>
      <c r="L66" s="156" t="str">
        <f t="shared" si="12"/>
        <v> Cashman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Tolsma</v>
      </c>
      <c r="D67" s="178"/>
      <c r="E67" s="181"/>
      <c r="K67" s="135">
        <f t="shared" si="11"/>
        <v>29</v>
      </c>
      <c r="L67" s="156" t="str">
        <f t="shared" si="12"/>
        <v> Israel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Garcia</v>
      </c>
      <c r="D68" s="178"/>
      <c r="E68" s="181"/>
      <c r="K68" s="135">
        <f t="shared" si="11"/>
        <v>30</v>
      </c>
      <c r="L68" s="156" t="str">
        <f t="shared" si="12"/>
        <v> Cashman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Tolsma</v>
      </c>
      <c r="D69" s="178"/>
      <c r="E69" s="181"/>
      <c r="K69" s="135">
        <f t="shared" si="11"/>
        <v>30</v>
      </c>
      <c r="L69" s="156" t="str">
        <f t="shared" si="12"/>
        <v> Israel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Garcia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Cashman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Tolsma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Israel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Garcia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Cashman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Tolsma</v>
      </c>
      <c r="D73" s="178"/>
      <c r="E73" s="181"/>
      <c r="K73" s="129">
        <v>32.0</v>
      </c>
      <c r="L73" s="156" t="str">
        <f t="shared" si="12"/>
        <v> Israel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Garcia</v>
      </c>
      <c r="D74" s="192"/>
      <c r="E74" s="181"/>
      <c r="K74" s="129">
        <v>33.0</v>
      </c>
      <c r="L74" s="156" t="str">
        <f t="shared" si="12"/>
        <v> Cashman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Tolsma</v>
      </c>
      <c r="D75" s="178"/>
      <c r="E75" s="181"/>
      <c r="K75" s="129">
        <v>33.0</v>
      </c>
      <c r="L75" s="156" t="str">
        <f t="shared" si="12"/>
        <v> Israel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Garcia</v>
      </c>
      <c r="D76" s="178"/>
      <c r="E76" s="181"/>
      <c r="K76" s="129">
        <v>34.0</v>
      </c>
      <c r="L76" s="156" t="str">
        <f t="shared" si="12"/>
        <v> Cashman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Tolsma</v>
      </c>
      <c r="D77" s="178"/>
      <c r="E77" s="181"/>
      <c r="K77" s="129">
        <v>34.0</v>
      </c>
      <c r="L77" s="156" t="str">
        <f t="shared" si="12"/>
        <v> Israel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Garcia</v>
      </c>
      <c r="D78" s="178"/>
      <c r="E78" s="181"/>
      <c r="K78" s="129">
        <v>35.0</v>
      </c>
      <c r="L78" s="156" t="str">
        <f t="shared" si="12"/>
        <v> Cashman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Tolsma</v>
      </c>
      <c r="D79" s="178"/>
      <c r="E79" s="181"/>
      <c r="K79" s="129">
        <v>35.0</v>
      </c>
      <c r="L79" s="156" t="str">
        <f t="shared" si="12"/>
        <v> Israel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Garcia</v>
      </c>
      <c r="D80" s="178"/>
      <c r="E80" s="181"/>
      <c r="K80" s="129">
        <v>36.0</v>
      </c>
      <c r="L80" s="156" t="str">
        <f t="shared" si="12"/>
        <v> Cashman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Tolsma</v>
      </c>
      <c r="D81" s="178"/>
      <c r="E81" s="181"/>
      <c r="K81" s="129">
        <v>36.0</v>
      </c>
      <c r="L81" s="156" t="str">
        <f t="shared" si="12"/>
        <v> Israel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Garcia</v>
      </c>
      <c r="D82" s="178"/>
      <c r="E82" s="181"/>
      <c r="K82" s="129">
        <v>37.0</v>
      </c>
      <c r="L82" s="156" t="str">
        <f t="shared" si="12"/>
        <v> Cashman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Tolsma</v>
      </c>
      <c r="D83" s="178"/>
      <c r="E83" s="181"/>
      <c r="K83" s="129">
        <v>37.0</v>
      </c>
      <c r="L83" s="156" t="str">
        <f t="shared" si="12"/>
        <v> Israel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Garcia</v>
      </c>
      <c r="D84" s="178"/>
      <c r="E84" s="181"/>
      <c r="K84" s="129">
        <v>38.0</v>
      </c>
      <c r="L84" s="156" t="str">
        <f t="shared" si="12"/>
        <v> Cashman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Tolsma</v>
      </c>
      <c r="D85" s="178"/>
      <c r="E85" s="181"/>
      <c r="K85" s="129">
        <v>38.0</v>
      </c>
      <c r="L85" s="156" t="str">
        <f t="shared" si="12"/>
        <v> Israel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Garcia</v>
      </c>
      <c r="D86" s="178"/>
      <c r="E86" s="181"/>
      <c r="K86" s="129">
        <v>39.0</v>
      </c>
      <c r="L86" s="156" t="str">
        <f t="shared" si="12"/>
        <v> Cashman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Tolsma</v>
      </c>
      <c r="D87" s="178"/>
      <c r="E87" s="181"/>
      <c r="K87" s="129">
        <v>39.0</v>
      </c>
      <c r="L87" s="156" t="str">
        <f t="shared" si="12"/>
        <v> Israel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Garcia</v>
      </c>
      <c r="D88" s="178"/>
      <c r="E88" s="181"/>
      <c r="K88" s="129">
        <v>40.0</v>
      </c>
      <c r="L88" s="156" t="str">
        <f t="shared" si="12"/>
        <v> Cashman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Tolsma</v>
      </c>
      <c r="D89" s="178"/>
      <c r="E89" s="181"/>
      <c r="K89" s="129">
        <v>40.0</v>
      </c>
      <c r="L89" s="156" t="str">
        <f t="shared" si="12"/>
        <v> Israel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87</v>
      </c>
      <c r="D3" s="189">
        <f t="shared" ref="D3:J3" si="1">SUMPRODUCT(D10:D90,MOD(ROW(D10:D90),2)=0)</f>
        <v>12</v>
      </c>
      <c r="E3" s="189">
        <f t="shared" si="1"/>
        <v>7</v>
      </c>
      <c r="F3" s="189">
        <f t="shared" si="1"/>
        <v>0</v>
      </c>
      <c r="G3" s="189">
        <f t="shared" si="1"/>
        <v>0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96</v>
      </c>
      <c r="M3" s="189">
        <f t="shared" ref="M3:S3" si="2">SUMPRODUCT(M10:M90,MOD(ROW(M10:M90),2)=0)</f>
        <v>14</v>
      </c>
      <c r="N3" s="189">
        <f t="shared" si="2"/>
        <v>2</v>
      </c>
      <c r="O3" s="189">
        <f t="shared" si="2"/>
        <v>0</v>
      </c>
      <c r="P3" s="189">
        <f t="shared" si="2"/>
        <v>1</v>
      </c>
      <c r="Q3" s="189">
        <f t="shared" si="2"/>
        <v>0</v>
      </c>
      <c r="R3" s="189">
        <f t="shared" si="2"/>
        <v>0</v>
      </c>
      <c r="S3" s="195">
        <f t="shared" si="2"/>
        <v>1</v>
      </c>
      <c r="T3" s="132"/>
      <c r="U3" s="7"/>
    </row>
    <row r="4">
      <c r="A4" s="125"/>
      <c r="B4" s="126" t="s">
        <v>179</v>
      </c>
      <c r="C4" s="127" t="s">
        <v>109</v>
      </c>
      <c r="D4" s="191">
        <f t="shared" ref="D4:J4" si="3">SUMPRODUCT(D10:D90,MOD(ROW(D10:D90),2))</f>
        <v>17</v>
      </c>
      <c r="E4" s="191">
        <f t="shared" si="3"/>
        <v>2</v>
      </c>
      <c r="F4" s="191">
        <f t="shared" si="3"/>
        <v>0</v>
      </c>
      <c r="G4" s="191">
        <f t="shared" si="3"/>
        <v>0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89</v>
      </c>
      <c r="M4" s="191">
        <f t="shared" ref="M4:S4" si="4">SUMPRODUCT(M10:M90,MOD(ROW(M10:M90),2))</f>
        <v>10</v>
      </c>
      <c r="N4" s="191">
        <f t="shared" si="4"/>
        <v>8</v>
      </c>
      <c r="O4" s="191">
        <f t="shared" si="4"/>
        <v>0</v>
      </c>
      <c r="P4" s="191">
        <f t="shared" si="4"/>
        <v>0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Messina %</v>
      </c>
      <c r="D5" s="137">
        <f t="shared" ref="D5:D6" si="6">IFERROR((E3/(E3+D3)),0)</f>
        <v>0.3684210526</v>
      </c>
      <c r="K5" s="135"/>
      <c r="L5" s="136" t="str">
        <f t="shared" ref="L5:L6" si="7">IFERROR((L10 &amp;" %"), "")</f>
        <v> Wigmore %</v>
      </c>
      <c r="M5" s="137">
        <f t="shared" ref="M5:M6" si="8">IFERROR((N3/(N3+M3)),0)</f>
        <v>0.125</v>
      </c>
      <c r="S5" s="132"/>
      <c r="T5" s="132"/>
      <c r="U5" s="7"/>
    </row>
    <row r="6">
      <c r="A6" s="14"/>
      <c r="B6" s="138"/>
      <c r="C6" s="139" t="str">
        <f t="shared" si="5"/>
        <v> Cestero %</v>
      </c>
      <c r="D6" s="140">
        <f t="shared" si="6"/>
        <v>0.1052631579</v>
      </c>
      <c r="E6" s="141"/>
      <c r="F6" s="141"/>
      <c r="G6" s="141"/>
      <c r="H6" s="141"/>
      <c r="I6" s="141"/>
      <c r="J6" s="141"/>
      <c r="K6" s="138"/>
      <c r="L6" s="139" t="str">
        <f t="shared" si="7"/>
        <v> Boggs %</v>
      </c>
      <c r="M6" s="142">
        <f t="shared" si="8"/>
        <v>0.4444444444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Messina")</f>
        <v> Messina</v>
      </c>
      <c r="D10" s="197"/>
      <c r="E10" s="198">
        <v>1.0</v>
      </c>
      <c r="F10" s="199"/>
      <c r="G10" s="199"/>
      <c r="H10" s="177"/>
      <c r="I10" s="177"/>
      <c r="K10" s="129">
        <v>1.0</v>
      </c>
      <c r="L10" s="136" t="str">
        <f>IFERROR(__xludf.DUMMYFUNCTION("REGEXEXTRACT(L3, ""( .*)+"")")," Wigmore")</f>
        <v> Wigmore</v>
      </c>
      <c r="M10" s="200">
        <v>1.0</v>
      </c>
      <c r="N10" s="201"/>
      <c r="O10" s="177"/>
      <c r="P10" s="199"/>
      <c r="Q10" s="177"/>
      <c r="R10" s="177"/>
      <c r="T10" s="132"/>
      <c r="U10" s="7"/>
    </row>
    <row r="11">
      <c r="A11" s="8"/>
      <c r="B11" s="129">
        <v>1.0</v>
      </c>
      <c r="C11" s="136" t="str">
        <f>IFERROR(__xludf.DUMMYFUNCTION("REGEXEXTRACT(C4, ""( .*)+"")")," Cestero")</f>
        <v> Cestero</v>
      </c>
      <c r="D11" s="202">
        <v>1.0</v>
      </c>
      <c r="E11" s="207"/>
      <c r="F11" s="177"/>
      <c r="G11" s="177"/>
      <c r="H11" s="177"/>
      <c r="I11" s="177"/>
      <c r="K11" s="129">
        <v>1.0</v>
      </c>
      <c r="L11" s="136" t="str">
        <f>IFERROR(__xludf.DUMMYFUNCTION("REGEXEXTRACT(L4, ""( .*)+"")")," Boggs")</f>
        <v> Boggs</v>
      </c>
      <c r="M11" s="208"/>
      <c r="N11" s="207">
        <v>1.0</v>
      </c>
      <c r="O11" s="177"/>
      <c r="P11" s="177"/>
      <c r="Q11" s="177"/>
      <c r="R11" s="177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Messina</v>
      </c>
      <c r="D12" s="202">
        <v>1.0</v>
      </c>
      <c r="E12" s="203"/>
      <c r="F12" s="177"/>
      <c r="G12" s="177"/>
      <c r="H12" s="177"/>
      <c r="I12" s="177"/>
      <c r="K12" s="129">
        <f t="shared" ref="K12:K69" si="11">K10+1</f>
        <v>2</v>
      </c>
      <c r="L12" s="156" t="str">
        <f t="shared" ref="L12:L89" si="12">L10</f>
        <v> Wigmore</v>
      </c>
      <c r="M12" s="200">
        <v>1.0</v>
      </c>
      <c r="N12" s="201"/>
      <c r="O12" s="177"/>
      <c r="P12" s="177"/>
      <c r="Q12" s="177"/>
      <c r="R12" s="177"/>
      <c r="T12" s="132"/>
      <c r="U12" s="7"/>
    </row>
    <row r="13">
      <c r="A13" s="14"/>
      <c r="B13" s="135">
        <f t="shared" si="9"/>
        <v>2</v>
      </c>
      <c r="C13" s="156" t="str">
        <f t="shared" si="10"/>
        <v> Cestero</v>
      </c>
      <c r="D13" s="200">
        <v>1.0</v>
      </c>
      <c r="E13" s="201"/>
      <c r="F13" s="177"/>
      <c r="G13" s="191"/>
      <c r="H13" s="177"/>
      <c r="I13" s="177"/>
      <c r="K13" s="135">
        <f t="shared" si="11"/>
        <v>2</v>
      </c>
      <c r="L13" s="156" t="str">
        <f t="shared" si="12"/>
        <v> Boggs</v>
      </c>
      <c r="M13" s="208"/>
      <c r="N13" s="207">
        <v>1.0</v>
      </c>
      <c r="O13" s="177"/>
      <c r="P13" s="177"/>
      <c r="Q13" s="177"/>
      <c r="R13" s="177"/>
      <c r="T13" s="132"/>
      <c r="U13" s="7"/>
    </row>
    <row r="14">
      <c r="A14" s="8"/>
      <c r="B14" s="129">
        <f t="shared" si="9"/>
        <v>3</v>
      </c>
      <c r="C14" s="156" t="str">
        <f t="shared" si="10"/>
        <v> Messina</v>
      </c>
      <c r="D14" s="202">
        <v>1.0</v>
      </c>
      <c r="E14" s="203"/>
      <c r="F14" s="177"/>
      <c r="G14" s="177"/>
      <c r="H14" s="177"/>
      <c r="I14" s="177"/>
      <c r="K14" s="129">
        <f t="shared" si="11"/>
        <v>3</v>
      </c>
      <c r="L14" s="156" t="str">
        <f t="shared" si="12"/>
        <v> Wigmore</v>
      </c>
      <c r="M14" s="202">
        <v>1.0</v>
      </c>
      <c r="N14" s="188"/>
      <c r="O14" s="177"/>
      <c r="P14" s="127">
        <v>1.0</v>
      </c>
      <c r="Q14" s="177"/>
      <c r="R14" s="177"/>
      <c r="T14" s="132"/>
      <c r="U14" s="7"/>
    </row>
    <row r="15">
      <c r="A15" s="14"/>
      <c r="B15" s="135">
        <f t="shared" si="9"/>
        <v>3</v>
      </c>
      <c r="C15" s="156" t="str">
        <f t="shared" si="10"/>
        <v> Cestero</v>
      </c>
      <c r="D15" s="200">
        <v>1.0</v>
      </c>
      <c r="E15" s="201"/>
      <c r="F15" s="177"/>
      <c r="G15" s="177"/>
      <c r="H15" s="177"/>
      <c r="I15" s="177"/>
      <c r="K15" s="135">
        <f t="shared" si="11"/>
        <v>3</v>
      </c>
      <c r="L15" s="156" t="str">
        <f t="shared" si="12"/>
        <v> Boggs</v>
      </c>
      <c r="M15" s="197"/>
      <c r="N15" s="198">
        <v>1.0</v>
      </c>
      <c r="O15" s="177"/>
      <c r="P15" s="177"/>
      <c r="Q15" s="177"/>
      <c r="R15" s="177"/>
      <c r="T15" s="132"/>
      <c r="U15" s="7"/>
    </row>
    <row r="16">
      <c r="A16" s="8"/>
      <c r="B16" s="129">
        <f t="shared" si="9"/>
        <v>4</v>
      </c>
      <c r="C16" s="156" t="str">
        <f t="shared" si="10"/>
        <v> Messina</v>
      </c>
      <c r="D16" s="200">
        <v>1.0</v>
      </c>
      <c r="E16" s="205"/>
      <c r="F16" s="177"/>
      <c r="G16" s="177"/>
      <c r="H16" s="177"/>
      <c r="I16" s="177"/>
      <c r="K16" s="129">
        <f t="shared" si="11"/>
        <v>4</v>
      </c>
      <c r="L16" s="156" t="str">
        <f t="shared" si="12"/>
        <v> Wigmore</v>
      </c>
      <c r="M16" s="200">
        <v>1.0</v>
      </c>
      <c r="N16" s="205"/>
      <c r="O16" s="177"/>
      <c r="P16" s="177"/>
      <c r="Q16" s="177"/>
      <c r="R16" s="177"/>
      <c r="T16" s="132"/>
      <c r="U16" s="7"/>
    </row>
    <row r="17">
      <c r="A17" s="14"/>
      <c r="B17" s="135">
        <f t="shared" si="9"/>
        <v>4</v>
      </c>
      <c r="C17" s="156" t="str">
        <f t="shared" si="10"/>
        <v> Cestero</v>
      </c>
      <c r="D17" s="197"/>
      <c r="E17" s="198">
        <v>1.0</v>
      </c>
      <c r="F17" s="177"/>
      <c r="G17" s="177"/>
      <c r="H17" s="177"/>
      <c r="I17" s="177"/>
      <c r="K17" s="135">
        <f t="shared" si="11"/>
        <v>4</v>
      </c>
      <c r="L17" s="156" t="str">
        <f t="shared" si="12"/>
        <v> Boggs</v>
      </c>
      <c r="M17" s="206"/>
      <c r="N17" s="207">
        <v>1.0</v>
      </c>
      <c r="O17" s="177"/>
      <c r="P17" s="177"/>
      <c r="Q17" s="177"/>
      <c r="R17" s="177"/>
      <c r="T17" s="132"/>
      <c r="U17" s="7"/>
    </row>
    <row r="18">
      <c r="A18" s="8"/>
      <c r="B18" s="129">
        <f t="shared" si="9"/>
        <v>5</v>
      </c>
      <c r="C18" s="156" t="str">
        <f t="shared" si="10"/>
        <v> Messina</v>
      </c>
      <c r="D18" s="200">
        <v>1.0</v>
      </c>
      <c r="E18" s="201"/>
      <c r="F18" s="177"/>
      <c r="G18" s="191"/>
      <c r="H18" s="177"/>
      <c r="I18" s="177"/>
      <c r="K18" s="129">
        <f t="shared" si="11"/>
        <v>5</v>
      </c>
      <c r="L18" s="156" t="str">
        <f t="shared" si="12"/>
        <v> Wigmore</v>
      </c>
      <c r="M18" s="200">
        <v>1.0</v>
      </c>
      <c r="N18" s="205"/>
      <c r="O18" s="177"/>
      <c r="P18" s="177"/>
      <c r="Q18" s="177"/>
      <c r="R18" s="177"/>
      <c r="T18" s="132"/>
      <c r="U18" s="7"/>
    </row>
    <row r="19">
      <c r="A19" s="14"/>
      <c r="B19" s="135">
        <f t="shared" si="9"/>
        <v>5</v>
      </c>
      <c r="C19" s="156" t="str">
        <f t="shared" si="10"/>
        <v> Cestero</v>
      </c>
      <c r="D19" s="200">
        <v>1.0</v>
      </c>
      <c r="E19" s="205"/>
      <c r="F19" s="177"/>
      <c r="G19" s="177"/>
      <c r="H19" s="177"/>
      <c r="I19" s="177"/>
      <c r="K19" s="135">
        <f t="shared" si="11"/>
        <v>5</v>
      </c>
      <c r="L19" s="156" t="str">
        <f t="shared" si="12"/>
        <v> Boggs</v>
      </c>
      <c r="M19" s="206"/>
      <c r="N19" s="207">
        <v>1.0</v>
      </c>
      <c r="O19" s="177"/>
      <c r="P19" s="177"/>
      <c r="Q19" s="177"/>
      <c r="R19" s="177"/>
      <c r="T19" s="132"/>
      <c r="U19" s="7"/>
    </row>
    <row r="20">
      <c r="A20" s="8"/>
      <c r="B20" s="129">
        <f t="shared" si="9"/>
        <v>6</v>
      </c>
      <c r="C20" s="156" t="str">
        <f t="shared" si="10"/>
        <v> Messina</v>
      </c>
      <c r="D20" s="200">
        <v>1.0</v>
      </c>
      <c r="E20" s="201"/>
      <c r="F20" s="177"/>
      <c r="G20" s="177"/>
      <c r="H20" s="177"/>
      <c r="I20" s="177"/>
      <c r="K20" s="129">
        <f t="shared" si="11"/>
        <v>6</v>
      </c>
      <c r="L20" s="156" t="str">
        <f t="shared" si="12"/>
        <v> Wigmore</v>
      </c>
      <c r="M20" s="200">
        <v>1.0</v>
      </c>
      <c r="N20" s="205"/>
      <c r="O20" s="177"/>
      <c r="P20" s="177"/>
      <c r="Q20" s="177"/>
      <c r="R20" s="177"/>
      <c r="T20" s="132"/>
      <c r="U20" s="7"/>
    </row>
    <row r="21">
      <c r="A21" s="14"/>
      <c r="B21" s="135">
        <f t="shared" si="9"/>
        <v>6</v>
      </c>
      <c r="C21" s="156" t="str">
        <f t="shared" si="10"/>
        <v> Cestero</v>
      </c>
      <c r="D21" s="200">
        <v>1.0</v>
      </c>
      <c r="E21" s="205"/>
      <c r="F21" s="177"/>
      <c r="G21" s="177"/>
      <c r="H21" s="177"/>
      <c r="I21" s="177"/>
      <c r="K21" s="135">
        <f t="shared" si="11"/>
        <v>6</v>
      </c>
      <c r="L21" s="156" t="str">
        <f t="shared" si="12"/>
        <v> Boggs</v>
      </c>
      <c r="M21" s="200">
        <v>1.0</v>
      </c>
      <c r="N21" s="205"/>
      <c r="O21" s="177"/>
      <c r="P21" s="177"/>
      <c r="Q21" s="177"/>
      <c r="R21" s="177"/>
      <c r="T21" s="132"/>
      <c r="U21" s="7"/>
    </row>
    <row r="22">
      <c r="A22" s="8"/>
      <c r="B22" s="129">
        <f t="shared" si="9"/>
        <v>7</v>
      </c>
      <c r="C22" s="156" t="str">
        <f t="shared" si="10"/>
        <v> Messina</v>
      </c>
      <c r="D22" s="208"/>
      <c r="E22" s="207">
        <v>1.0</v>
      </c>
      <c r="F22" s="177"/>
      <c r="G22" s="177"/>
      <c r="H22" s="177"/>
      <c r="I22" s="177"/>
      <c r="K22" s="129">
        <f t="shared" si="11"/>
        <v>7</v>
      </c>
      <c r="L22" s="156" t="str">
        <f t="shared" si="12"/>
        <v> Wigmore</v>
      </c>
      <c r="M22" s="200">
        <v>1.0</v>
      </c>
      <c r="N22" s="205"/>
      <c r="O22" s="177"/>
      <c r="P22" s="177"/>
      <c r="Q22" s="177"/>
      <c r="R22" s="177"/>
      <c r="T22" s="132"/>
      <c r="U22" s="7"/>
    </row>
    <row r="23">
      <c r="A23" s="14"/>
      <c r="B23" s="135">
        <f t="shared" si="9"/>
        <v>7</v>
      </c>
      <c r="C23" s="156" t="str">
        <f t="shared" si="10"/>
        <v> Cestero</v>
      </c>
      <c r="D23" s="200">
        <v>1.0</v>
      </c>
      <c r="E23" s="205"/>
      <c r="F23" s="177"/>
      <c r="G23" s="177"/>
      <c r="H23" s="177"/>
      <c r="I23" s="177"/>
      <c r="K23" s="135">
        <f t="shared" si="11"/>
        <v>7</v>
      </c>
      <c r="L23" s="156" t="str">
        <f t="shared" si="12"/>
        <v> Boggs</v>
      </c>
      <c r="M23" s="200">
        <v>1.0</v>
      </c>
      <c r="N23" s="205"/>
      <c r="O23" s="177"/>
      <c r="P23" s="177"/>
      <c r="Q23" s="177"/>
      <c r="R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 Messina</v>
      </c>
      <c r="D24" s="200">
        <v>1.0</v>
      </c>
      <c r="E24" s="205"/>
      <c r="F24" s="177"/>
      <c r="G24" s="177"/>
      <c r="H24" s="177"/>
      <c r="I24" s="177"/>
      <c r="K24" s="129">
        <f t="shared" si="11"/>
        <v>8</v>
      </c>
      <c r="L24" s="156" t="str">
        <f t="shared" si="12"/>
        <v> Wigmore</v>
      </c>
      <c r="M24" s="202">
        <v>1.0</v>
      </c>
      <c r="N24" s="188"/>
      <c r="O24" s="177"/>
      <c r="P24" s="177"/>
      <c r="Q24" s="177"/>
      <c r="R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 Cestero</v>
      </c>
      <c r="D25" s="208"/>
      <c r="E25" s="207">
        <v>1.0</v>
      </c>
      <c r="F25" s="177"/>
      <c r="G25" s="177"/>
      <c r="H25" s="177"/>
      <c r="I25" s="177"/>
      <c r="K25" s="135">
        <f t="shared" si="11"/>
        <v>8</v>
      </c>
      <c r="L25" s="156" t="str">
        <f t="shared" si="12"/>
        <v> Boggs</v>
      </c>
      <c r="M25" s="202">
        <v>1.0</v>
      </c>
      <c r="N25" s="203"/>
      <c r="O25" s="177"/>
      <c r="P25" s="177"/>
      <c r="Q25" s="177"/>
      <c r="R25" s="177"/>
      <c r="T25" s="132"/>
      <c r="U25" s="7"/>
    </row>
    <row r="26">
      <c r="A26" s="8"/>
      <c r="B26" s="129">
        <f t="shared" si="9"/>
        <v>9</v>
      </c>
      <c r="C26" s="156" t="str">
        <f t="shared" si="10"/>
        <v> Messina</v>
      </c>
      <c r="D26" s="208"/>
      <c r="E26" s="207">
        <v>1.0</v>
      </c>
      <c r="F26" s="177"/>
      <c r="G26" s="177"/>
      <c r="H26" s="177"/>
      <c r="I26" s="177"/>
      <c r="K26" s="129">
        <f t="shared" si="11"/>
        <v>9</v>
      </c>
      <c r="L26" s="156" t="str">
        <f t="shared" si="12"/>
        <v> Wigmore</v>
      </c>
      <c r="M26" s="197"/>
      <c r="N26" s="198">
        <v>1.0</v>
      </c>
      <c r="O26" s="177"/>
      <c r="P26" s="177"/>
      <c r="Q26" s="177"/>
      <c r="R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 Cestero</v>
      </c>
      <c r="D27" s="202">
        <v>1.0</v>
      </c>
      <c r="E27" s="188"/>
      <c r="F27" s="177"/>
      <c r="G27" s="177"/>
      <c r="H27" s="177"/>
      <c r="I27" s="177"/>
      <c r="K27" s="135">
        <f t="shared" si="11"/>
        <v>9</v>
      </c>
      <c r="L27" s="156" t="str">
        <f t="shared" si="12"/>
        <v> Boggs</v>
      </c>
      <c r="M27" s="200">
        <v>1.0</v>
      </c>
      <c r="N27" s="205"/>
      <c r="O27" s="177"/>
      <c r="P27" s="177"/>
      <c r="Q27" s="177"/>
      <c r="R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 Messina</v>
      </c>
      <c r="D28" s="197"/>
      <c r="E28" s="198">
        <v>1.0</v>
      </c>
      <c r="F28" s="177"/>
      <c r="G28" s="191"/>
      <c r="H28" s="177"/>
      <c r="I28" s="177"/>
      <c r="K28" s="129">
        <f t="shared" si="11"/>
        <v>10</v>
      </c>
      <c r="L28" s="156" t="str">
        <f t="shared" si="12"/>
        <v> Wigmore</v>
      </c>
      <c r="M28" s="200">
        <v>1.0</v>
      </c>
      <c r="N28" s="205"/>
      <c r="O28" s="177"/>
      <c r="P28" s="177"/>
      <c r="Q28" s="177"/>
      <c r="R28" s="177"/>
      <c r="T28" s="132"/>
      <c r="U28" s="7"/>
    </row>
    <row r="29">
      <c r="A29" s="14"/>
      <c r="B29" s="135">
        <f t="shared" si="9"/>
        <v>10</v>
      </c>
      <c r="C29" s="156" t="str">
        <f t="shared" si="10"/>
        <v> Cestero</v>
      </c>
      <c r="D29" s="200">
        <v>1.0</v>
      </c>
      <c r="E29" s="205"/>
      <c r="F29" s="177"/>
      <c r="G29" s="177"/>
      <c r="H29" s="177"/>
      <c r="I29" s="177"/>
      <c r="K29" s="135">
        <f t="shared" si="11"/>
        <v>10</v>
      </c>
      <c r="L29" s="156" t="str">
        <f t="shared" si="12"/>
        <v> Boggs</v>
      </c>
      <c r="M29" s="200">
        <v>1.0</v>
      </c>
      <c r="N29" s="205"/>
      <c r="O29" s="177"/>
      <c r="P29" s="177"/>
      <c r="Q29" s="177"/>
      <c r="R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 Messina</v>
      </c>
      <c r="D30" s="197"/>
      <c r="E30" s="198">
        <v>1.0</v>
      </c>
      <c r="F30" s="177"/>
      <c r="G30" s="177"/>
      <c r="H30" s="177"/>
      <c r="I30" s="177"/>
      <c r="K30" s="129">
        <f t="shared" si="11"/>
        <v>11</v>
      </c>
      <c r="L30" s="156" t="str">
        <f t="shared" si="12"/>
        <v> Wigmore</v>
      </c>
      <c r="M30" s="200">
        <v>1.0</v>
      </c>
      <c r="N30" s="205"/>
      <c r="O30" s="177"/>
      <c r="P30" s="177"/>
      <c r="Q30" s="177"/>
      <c r="R30" s="177"/>
      <c r="T30" s="132"/>
      <c r="U30" s="7"/>
    </row>
    <row r="31">
      <c r="A31" s="14"/>
      <c r="B31" s="135">
        <f t="shared" si="9"/>
        <v>11</v>
      </c>
      <c r="C31" s="156" t="str">
        <f t="shared" si="10"/>
        <v> Cestero</v>
      </c>
      <c r="D31" s="200">
        <v>1.0</v>
      </c>
      <c r="E31" s="205"/>
      <c r="F31" s="177"/>
      <c r="G31" s="177"/>
      <c r="H31" s="177"/>
      <c r="I31" s="177"/>
      <c r="K31" s="135">
        <f t="shared" si="11"/>
        <v>11</v>
      </c>
      <c r="L31" s="156" t="str">
        <f t="shared" si="12"/>
        <v> Boggs</v>
      </c>
      <c r="M31" s="202">
        <v>1.0</v>
      </c>
      <c r="N31" s="203"/>
      <c r="O31" s="177"/>
      <c r="P31" s="177"/>
      <c r="Q31" s="177"/>
      <c r="R31" s="177"/>
      <c r="T31" s="132"/>
      <c r="U31" s="7"/>
    </row>
    <row r="32">
      <c r="A32" s="8"/>
      <c r="B32" s="129">
        <f t="shared" si="9"/>
        <v>12</v>
      </c>
      <c r="C32" s="156" t="str">
        <f t="shared" si="10"/>
        <v> Messina</v>
      </c>
      <c r="D32" s="200">
        <v>1.0</v>
      </c>
      <c r="E32" s="205"/>
      <c r="F32" s="177"/>
      <c r="G32" s="177"/>
      <c r="H32" s="177"/>
      <c r="I32" s="177"/>
      <c r="K32" s="129">
        <f t="shared" si="11"/>
        <v>12</v>
      </c>
      <c r="L32" s="156" t="str">
        <f t="shared" si="12"/>
        <v> Wigmore</v>
      </c>
      <c r="M32" s="200">
        <v>1.0</v>
      </c>
      <c r="N32" s="205"/>
      <c r="O32" s="177"/>
      <c r="P32" s="177"/>
      <c r="Q32" s="177"/>
      <c r="R32" s="177"/>
      <c r="T32" s="132"/>
      <c r="U32" s="7"/>
    </row>
    <row r="33">
      <c r="A33" s="14"/>
      <c r="B33" s="135">
        <f t="shared" si="9"/>
        <v>12</v>
      </c>
      <c r="C33" s="156" t="str">
        <f t="shared" si="10"/>
        <v> Cestero</v>
      </c>
      <c r="D33" s="200">
        <v>1.0</v>
      </c>
      <c r="E33" s="205"/>
      <c r="F33" s="177"/>
      <c r="G33" s="177"/>
      <c r="H33" s="177"/>
      <c r="I33" s="177"/>
      <c r="K33" s="135">
        <f t="shared" si="11"/>
        <v>12</v>
      </c>
      <c r="L33" s="156" t="str">
        <f t="shared" si="12"/>
        <v> Boggs</v>
      </c>
      <c r="M33" s="187"/>
      <c r="N33" s="198">
        <v>1.0</v>
      </c>
      <c r="O33" s="177"/>
      <c r="P33" s="177"/>
      <c r="Q33" s="177"/>
      <c r="R33" s="177"/>
      <c r="T33" s="132"/>
      <c r="U33" s="7"/>
    </row>
    <row r="34">
      <c r="A34" s="8"/>
      <c r="B34" s="129">
        <f t="shared" si="9"/>
        <v>13</v>
      </c>
      <c r="C34" s="156" t="str">
        <f t="shared" si="10"/>
        <v> Messina</v>
      </c>
      <c r="D34" s="197"/>
      <c r="E34" s="198">
        <v>1.0</v>
      </c>
      <c r="F34" s="177"/>
      <c r="G34" s="177"/>
      <c r="H34" s="177"/>
      <c r="I34" s="177"/>
      <c r="K34" s="129">
        <f t="shared" si="11"/>
        <v>13</v>
      </c>
      <c r="L34" s="156" t="str">
        <f t="shared" si="12"/>
        <v> Wigmore</v>
      </c>
      <c r="M34" s="202">
        <v>1.0</v>
      </c>
      <c r="N34" s="188"/>
      <c r="O34" s="177"/>
      <c r="P34" s="177"/>
      <c r="Q34" s="177"/>
      <c r="R34" s="177"/>
      <c r="T34" s="132"/>
      <c r="U34" s="7"/>
    </row>
    <row r="35">
      <c r="A35" s="14"/>
      <c r="B35" s="135">
        <f t="shared" si="9"/>
        <v>13</v>
      </c>
      <c r="C35" s="156" t="str">
        <f t="shared" si="10"/>
        <v> Cestero</v>
      </c>
      <c r="D35" s="202">
        <v>1.0</v>
      </c>
      <c r="E35" s="188"/>
      <c r="F35" s="177"/>
      <c r="G35" s="177"/>
      <c r="H35" s="177"/>
      <c r="I35" s="177"/>
      <c r="K35" s="135">
        <f t="shared" si="11"/>
        <v>13</v>
      </c>
      <c r="L35" s="156" t="str">
        <f t="shared" si="12"/>
        <v> Boggs</v>
      </c>
      <c r="M35" s="200">
        <v>1.0</v>
      </c>
      <c r="N35" s="205"/>
      <c r="O35" s="177"/>
      <c r="P35" s="177"/>
      <c r="Q35" s="177"/>
      <c r="R35" s="177"/>
      <c r="T35" s="132"/>
      <c r="U35" s="7"/>
    </row>
    <row r="36">
      <c r="A36" s="8"/>
      <c r="B36" s="129">
        <f t="shared" si="9"/>
        <v>14</v>
      </c>
      <c r="C36" s="156" t="str">
        <f t="shared" si="10"/>
        <v> Messina</v>
      </c>
      <c r="D36" s="208"/>
      <c r="E36" s="198">
        <v>1.0</v>
      </c>
      <c r="F36" s="177"/>
      <c r="G36" s="177"/>
      <c r="H36" s="177"/>
      <c r="I36" s="177"/>
      <c r="K36" s="129">
        <f t="shared" si="11"/>
        <v>14</v>
      </c>
      <c r="L36" s="156" t="str">
        <f t="shared" si="12"/>
        <v> Wigmore</v>
      </c>
      <c r="M36" s="202"/>
      <c r="N36" s="205"/>
      <c r="O36" s="177"/>
      <c r="P36" s="177"/>
      <c r="Q36" s="177"/>
      <c r="R36" s="177"/>
      <c r="S36" s="136">
        <v>1.0</v>
      </c>
      <c r="T36" s="132"/>
      <c r="U36" s="7"/>
    </row>
    <row r="37">
      <c r="A37" s="14"/>
      <c r="B37" s="135">
        <f t="shared" si="9"/>
        <v>14</v>
      </c>
      <c r="C37" s="156" t="str">
        <f t="shared" si="10"/>
        <v> Cestero</v>
      </c>
      <c r="D37" s="202">
        <v>1.0</v>
      </c>
      <c r="E37" s="188"/>
      <c r="F37" s="177"/>
      <c r="G37" s="177"/>
      <c r="H37" s="177"/>
      <c r="I37" s="177"/>
      <c r="K37" s="135">
        <f t="shared" si="11"/>
        <v>14</v>
      </c>
      <c r="L37" s="156" t="str">
        <f t="shared" si="12"/>
        <v> Boggs</v>
      </c>
      <c r="M37" s="202">
        <v>1.0</v>
      </c>
      <c r="N37" s="188"/>
      <c r="O37" s="177"/>
      <c r="P37" s="177"/>
      <c r="Q37" s="177"/>
      <c r="R37" s="177"/>
      <c r="T37" s="132"/>
      <c r="U37" s="7"/>
    </row>
    <row r="38">
      <c r="A38" s="8"/>
      <c r="B38" s="129">
        <f t="shared" si="9"/>
        <v>15</v>
      </c>
      <c r="C38" s="156" t="str">
        <f t="shared" si="10"/>
        <v> Messina</v>
      </c>
      <c r="D38" s="202">
        <v>1.0</v>
      </c>
      <c r="E38" s="205"/>
      <c r="F38" s="177"/>
      <c r="G38" s="177"/>
      <c r="H38" s="177"/>
      <c r="I38" s="177"/>
      <c r="K38" s="129">
        <f t="shared" si="11"/>
        <v>15</v>
      </c>
      <c r="L38" s="156" t="str">
        <f t="shared" si="12"/>
        <v> Wigmore</v>
      </c>
      <c r="M38" s="202">
        <v>1.0</v>
      </c>
      <c r="N38" s="205"/>
      <c r="O38" s="177"/>
      <c r="P38" s="177"/>
      <c r="Q38" s="177"/>
      <c r="R38" s="177"/>
      <c r="T38" s="132"/>
      <c r="U38" s="7"/>
    </row>
    <row r="39">
      <c r="A39" s="14"/>
      <c r="B39" s="135">
        <f t="shared" si="9"/>
        <v>15</v>
      </c>
      <c r="C39" s="156" t="str">
        <f t="shared" si="10"/>
        <v> Cestero</v>
      </c>
      <c r="D39" s="200">
        <v>1.0</v>
      </c>
      <c r="E39" s="205"/>
      <c r="F39" s="177"/>
      <c r="G39" s="177"/>
      <c r="H39" s="177"/>
      <c r="I39" s="177"/>
      <c r="K39" s="135">
        <f t="shared" si="11"/>
        <v>15</v>
      </c>
      <c r="L39" s="156" t="str">
        <f t="shared" si="12"/>
        <v> Boggs</v>
      </c>
      <c r="M39" s="202">
        <v>1.0</v>
      </c>
      <c r="N39" s="205"/>
      <c r="O39" s="177"/>
      <c r="P39" s="177"/>
      <c r="Q39" s="177"/>
      <c r="R39" s="177"/>
      <c r="T39" s="132"/>
      <c r="U39" s="7"/>
    </row>
    <row r="40">
      <c r="A40" s="8"/>
      <c r="B40" s="129">
        <f t="shared" si="9"/>
        <v>16</v>
      </c>
      <c r="C40" s="156" t="str">
        <f t="shared" si="10"/>
        <v> Messina</v>
      </c>
      <c r="D40" s="180">
        <v>1.0</v>
      </c>
      <c r="E40" s="179"/>
      <c r="F40" s="177"/>
      <c r="G40" s="177"/>
      <c r="H40" s="177"/>
      <c r="I40" s="177"/>
      <c r="K40" s="129">
        <f t="shared" si="11"/>
        <v>16</v>
      </c>
      <c r="L40" s="156" t="str">
        <f t="shared" si="12"/>
        <v> Wigmore</v>
      </c>
      <c r="M40" s="202">
        <v>1.0</v>
      </c>
      <c r="N40" s="205"/>
      <c r="O40" s="177"/>
      <c r="P40" s="177"/>
      <c r="Q40" s="177"/>
      <c r="R40" s="177"/>
      <c r="T40" s="132"/>
      <c r="U40" s="7"/>
    </row>
    <row r="41">
      <c r="A41" s="14"/>
      <c r="B41" s="135">
        <f t="shared" si="9"/>
        <v>16</v>
      </c>
      <c r="C41" s="156" t="str">
        <f t="shared" si="10"/>
        <v> Cestero</v>
      </c>
      <c r="D41" s="180">
        <v>1.0</v>
      </c>
      <c r="E41" s="181"/>
      <c r="F41" s="177"/>
      <c r="G41" s="177"/>
      <c r="H41" s="177"/>
      <c r="I41" s="177"/>
      <c r="K41" s="135">
        <f t="shared" si="11"/>
        <v>16</v>
      </c>
      <c r="L41" s="156" t="str">
        <f t="shared" si="12"/>
        <v> Boggs</v>
      </c>
      <c r="M41" s="206"/>
      <c r="N41" s="198">
        <v>1.0</v>
      </c>
      <c r="O41" s="177"/>
      <c r="P41" s="177"/>
      <c r="Q41" s="177"/>
      <c r="R41" s="177"/>
      <c r="T41" s="132"/>
      <c r="U41" s="7"/>
    </row>
    <row r="42">
      <c r="A42" s="8"/>
      <c r="B42" s="129">
        <f t="shared" si="9"/>
        <v>17</v>
      </c>
      <c r="C42" s="156" t="str">
        <f t="shared" si="10"/>
        <v> Messina</v>
      </c>
      <c r="D42" s="180">
        <v>1.0</v>
      </c>
      <c r="E42" s="181"/>
      <c r="F42" s="177"/>
      <c r="G42" s="177"/>
      <c r="H42" s="177"/>
      <c r="I42" s="177"/>
      <c r="K42" s="129">
        <f t="shared" si="11"/>
        <v>17</v>
      </c>
      <c r="L42" s="156" t="str">
        <f t="shared" si="12"/>
        <v> Wigmore</v>
      </c>
      <c r="M42" s="208"/>
      <c r="N42" s="198">
        <v>1.0</v>
      </c>
      <c r="O42" s="177"/>
      <c r="P42" s="177"/>
      <c r="Q42" s="177"/>
      <c r="R42" s="177"/>
      <c r="T42" s="132"/>
      <c r="U42" s="7"/>
    </row>
    <row r="43">
      <c r="A43" s="14"/>
      <c r="B43" s="135">
        <f t="shared" si="9"/>
        <v>17</v>
      </c>
      <c r="C43" s="156" t="str">
        <f t="shared" si="10"/>
        <v> Cestero</v>
      </c>
      <c r="D43" s="180">
        <v>1.0</v>
      </c>
      <c r="E43" s="179"/>
      <c r="F43" s="177"/>
      <c r="G43" s="177"/>
      <c r="H43" s="177"/>
      <c r="I43" s="177"/>
      <c r="K43" s="135">
        <f t="shared" si="11"/>
        <v>17</v>
      </c>
      <c r="L43" s="156" t="str">
        <f t="shared" si="12"/>
        <v> Boggs</v>
      </c>
      <c r="M43" s="180">
        <v>1.0</v>
      </c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Messina</v>
      </c>
      <c r="D44" s="180">
        <v>1.0</v>
      </c>
      <c r="E44" s="181"/>
      <c r="F44" s="177"/>
      <c r="G44" s="177"/>
      <c r="H44" s="177"/>
      <c r="I44" s="177"/>
      <c r="K44" s="129">
        <f t="shared" si="11"/>
        <v>18</v>
      </c>
      <c r="L44" s="156" t="str">
        <f t="shared" si="12"/>
        <v> Wigmore</v>
      </c>
      <c r="M44" s="180"/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Cestero</v>
      </c>
      <c r="D45" s="180">
        <v>1.0</v>
      </c>
      <c r="E45" s="181"/>
      <c r="F45" s="177"/>
      <c r="G45" s="177"/>
      <c r="H45" s="177"/>
      <c r="I45" s="177"/>
      <c r="K45" s="129">
        <f t="shared" si="11"/>
        <v>18</v>
      </c>
      <c r="L45" s="156" t="str">
        <f t="shared" si="12"/>
        <v> Boggs</v>
      </c>
      <c r="M45" s="180"/>
      <c r="N45" s="179">
        <v>1.0</v>
      </c>
      <c r="T45" s="132"/>
      <c r="U45" s="7"/>
    </row>
    <row r="46">
      <c r="A46" s="14"/>
      <c r="B46" s="135">
        <f t="shared" si="9"/>
        <v>19</v>
      </c>
      <c r="C46" s="156" t="str">
        <f t="shared" si="10"/>
        <v> Messina</v>
      </c>
      <c r="D46" s="180">
        <v>1.0</v>
      </c>
      <c r="E46" s="181"/>
      <c r="F46" s="177"/>
      <c r="G46" s="177"/>
      <c r="H46" s="177"/>
      <c r="I46" s="177"/>
      <c r="K46" s="135">
        <f t="shared" si="11"/>
        <v>19</v>
      </c>
      <c r="L46" s="156" t="str">
        <f t="shared" si="12"/>
        <v> Wigmore</v>
      </c>
      <c r="M46" s="180"/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Cestero</v>
      </c>
      <c r="D47" s="180">
        <v>1.0</v>
      </c>
      <c r="E47" s="181"/>
      <c r="F47" s="177"/>
      <c r="G47" s="177"/>
      <c r="H47" s="177"/>
      <c r="I47" s="177"/>
      <c r="K47" s="129">
        <f t="shared" si="11"/>
        <v>19</v>
      </c>
      <c r="L47" s="156" t="str">
        <f t="shared" si="12"/>
        <v> Boggs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Messina</v>
      </c>
      <c r="D48" s="180"/>
      <c r="E48" s="181"/>
      <c r="F48" s="177"/>
      <c r="G48" s="177"/>
      <c r="H48" s="177"/>
      <c r="I48" s="177"/>
      <c r="K48" s="135">
        <f t="shared" si="11"/>
        <v>20</v>
      </c>
      <c r="L48" s="156" t="str">
        <f t="shared" si="12"/>
        <v> Wigmore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Cestero</v>
      </c>
      <c r="D49" s="178"/>
      <c r="E49" s="179"/>
      <c r="F49" s="177"/>
      <c r="G49" s="177"/>
      <c r="H49" s="177"/>
      <c r="I49" s="177"/>
      <c r="K49" s="129">
        <f t="shared" si="11"/>
        <v>20</v>
      </c>
      <c r="L49" s="156" t="str">
        <f t="shared" si="12"/>
        <v> Boggs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Messina</v>
      </c>
      <c r="D50" s="180"/>
      <c r="E50" s="181"/>
      <c r="F50" s="177"/>
      <c r="G50" s="177"/>
      <c r="H50" s="177"/>
      <c r="I50" s="177"/>
      <c r="K50" s="129">
        <f t="shared" si="11"/>
        <v>21</v>
      </c>
      <c r="L50" s="156" t="str">
        <f t="shared" si="12"/>
        <v> Wigmore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Cestero</v>
      </c>
      <c r="D51" s="180"/>
      <c r="E51" s="181"/>
      <c r="F51" s="177"/>
      <c r="G51" s="177"/>
      <c r="H51" s="177"/>
      <c r="I51" s="177"/>
      <c r="K51" s="135">
        <f t="shared" si="11"/>
        <v>21</v>
      </c>
      <c r="L51" s="156" t="str">
        <f t="shared" si="12"/>
        <v> Boggs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Messina</v>
      </c>
      <c r="D52" s="178"/>
      <c r="E52" s="181"/>
      <c r="F52" s="177"/>
      <c r="G52" s="177"/>
      <c r="H52" s="177"/>
      <c r="I52" s="177"/>
      <c r="K52" s="129">
        <f t="shared" si="11"/>
        <v>22</v>
      </c>
      <c r="L52" s="156" t="str">
        <f t="shared" si="12"/>
        <v> Wigmore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Cestero</v>
      </c>
      <c r="D53" s="178"/>
      <c r="E53" s="181"/>
      <c r="F53" s="177"/>
      <c r="G53" s="177"/>
      <c r="H53" s="177"/>
      <c r="I53" s="177"/>
      <c r="K53" s="135">
        <f t="shared" si="11"/>
        <v>22</v>
      </c>
      <c r="L53" s="156" t="str">
        <f t="shared" si="12"/>
        <v> Boggs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Messina</v>
      </c>
      <c r="D54" s="178"/>
      <c r="E54" s="181"/>
      <c r="F54" s="177"/>
      <c r="G54" s="177"/>
      <c r="H54" s="177"/>
      <c r="I54" s="177"/>
      <c r="K54" s="129">
        <f t="shared" si="11"/>
        <v>23</v>
      </c>
      <c r="L54" s="156" t="str">
        <f t="shared" si="12"/>
        <v> Wigmore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Cestero</v>
      </c>
      <c r="D55" s="178"/>
      <c r="E55" s="181"/>
      <c r="K55" s="135">
        <f t="shared" si="11"/>
        <v>23</v>
      </c>
      <c r="L55" s="156" t="str">
        <f t="shared" si="12"/>
        <v> Boggs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Messina</v>
      </c>
      <c r="D56" s="178"/>
      <c r="E56" s="181"/>
      <c r="K56" s="129">
        <f t="shared" si="11"/>
        <v>24</v>
      </c>
      <c r="L56" s="156" t="str">
        <f t="shared" si="12"/>
        <v> Wigmore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Cestero</v>
      </c>
      <c r="D57" s="178"/>
      <c r="E57" s="181"/>
      <c r="K57" s="129">
        <f t="shared" si="11"/>
        <v>24</v>
      </c>
      <c r="L57" s="156" t="str">
        <f t="shared" si="12"/>
        <v> Boggs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Messina</v>
      </c>
      <c r="D58" s="178"/>
      <c r="E58" s="181"/>
      <c r="K58" s="135">
        <f t="shared" si="11"/>
        <v>25</v>
      </c>
      <c r="L58" s="156" t="str">
        <f t="shared" si="12"/>
        <v> Wigmore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Cestero</v>
      </c>
      <c r="D59" s="178"/>
      <c r="E59" s="181"/>
      <c r="K59" s="129">
        <f t="shared" si="11"/>
        <v>25</v>
      </c>
      <c r="L59" s="156" t="str">
        <f t="shared" si="12"/>
        <v> Boggs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Messina</v>
      </c>
      <c r="D60" s="178"/>
      <c r="E60" s="181"/>
      <c r="K60" s="135">
        <f t="shared" si="11"/>
        <v>26</v>
      </c>
      <c r="L60" s="156" t="str">
        <f t="shared" si="12"/>
        <v> Wigmore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Cestero</v>
      </c>
      <c r="D61" s="178"/>
      <c r="E61" s="181"/>
      <c r="K61" s="129">
        <f t="shared" si="11"/>
        <v>26</v>
      </c>
      <c r="L61" s="156" t="str">
        <f t="shared" si="12"/>
        <v> Boggs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Messina</v>
      </c>
      <c r="D62" s="178"/>
      <c r="E62" s="181"/>
      <c r="K62" s="135">
        <f t="shared" si="11"/>
        <v>27</v>
      </c>
      <c r="L62" s="156" t="str">
        <f t="shared" si="12"/>
        <v> Wigmore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Cestero</v>
      </c>
      <c r="D63" s="178"/>
      <c r="E63" s="181"/>
      <c r="K63" s="129">
        <f t="shared" si="11"/>
        <v>27</v>
      </c>
      <c r="L63" s="156" t="str">
        <f t="shared" si="12"/>
        <v> Boggs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Messina</v>
      </c>
      <c r="D64" s="178"/>
      <c r="E64" s="181"/>
      <c r="K64" s="135">
        <f t="shared" si="11"/>
        <v>28</v>
      </c>
      <c r="L64" s="156" t="str">
        <f t="shared" si="12"/>
        <v> Wigmore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Cestero</v>
      </c>
      <c r="D65" s="178"/>
      <c r="E65" s="181"/>
      <c r="K65" s="129">
        <f t="shared" si="11"/>
        <v>28</v>
      </c>
      <c r="L65" s="156" t="str">
        <f t="shared" si="12"/>
        <v> Boggs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Messina</v>
      </c>
      <c r="D66" s="178"/>
      <c r="E66" s="181"/>
      <c r="K66" s="135">
        <f t="shared" si="11"/>
        <v>29</v>
      </c>
      <c r="L66" s="156" t="str">
        <f t="shared" si="12"/>
        <v> Wigmore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Cestero</v>
      </c>
      <c r="D67" s="178"/>
      <c r="E67" s="181"/>
      <c r="K67" s="135">
        <f t="shared" si="11"/>
        <v>29</v>
      </c>
      <c r="L67" s="156" t="str">
        <f t="shared" si="12"/>
        <v> Boggs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Messina</v>
      </c>
      <c r="D68" s="178"/>
      <c r="E68" s="181"/>
      <c r="K68" s="135">
        <f t="shared" si="11"/>
        <v>30</v>
      </c>
      <c r="L68" s="156" t="str">
        <f t="shared" si="12"/>
        <v> Wigmore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Cestero</v>
      </c>
      <c r="D69" s="178"/>
      <c r="E69" s="181"/>
      <c r="K69" s="135">
        <f t="shared" si="11"/>
        <v>30</v>
      </c>
      <c r="L69" s="156" t="str">
        <f t="shared" si="12"/>
        <v> Boggs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Messina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Wigmore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Cestero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Boggs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Messina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Wigmore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Cestero</v>
      </c>
      <c r="D73" s="178"/>
      <c r="E73" s="181"/>
      <c r="K73" s="129">
        <v>32.0</v>
      </c>
      <c r="L73" s="156" t="str">
        <f t="shared" si="12"/>
        <v> Boggs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Messina</v>
      </c>
      <c r="D74" s="192"/>
      <c r="E74" s="181"/>
      <c r="K74" s="129">
        <v>33.0</v>
      </c>
      <c r="L74" s="156" t="str">
        <f t="shared" si="12"/>
        <v> Wigmore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Cestero</v>
      </c>
      <c r="D75" s="178"/>
      <c r="E75" s="181"/>
      <c r="K75" s="129">
        <v>33.0</v>
      </c>
      <c r="L75" s="156" t="str">
        <f t="shared" si="12"/>
        <v> Boggs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Messina</v>
      </c>
      <c r="D76" s="178"/>
      <c r="E76" s="181"/>
      <c r="K76" s="129">
        <v>34.0</v>
      </c>
      <c r="L76" s="156" t="str">
        <f t="shared" si="12"/>
        <v> Wigmore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Cestero</v>
      </c>
      <c r="D77" s="178"/>
      <c r="E77" s="181"/>
      <c r="K77" s="129">
        <v>34.0</v>
      </c>
      <c r="L77" s="156" t="str">
        <f t="shared" si="12"/>
        <v> Boggs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Messina</v>
      </c>
      <c r="D78" s="178"/>
      <c r="E78" s="181"/>
      <c r="K78" s="129">
        <v>35.0</v>
      </c>
      <c r="L78" s="156" t="str">
        <f t="shared" si="12"/>
        <v> Wigmore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Cestero</v>
      </c>
      <c r="D79" s="178"/>
      <c r="E79" s="181"/>
      <c r="K79" s="129">
        <v>35.0</v>
      </c>
      <c r="L79" s="156" t="str">
        <f t="shared" si="12"/>
        <v> Boggs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Messina</v>
      </c>
      <c r="D80" s="178"/>
      <c r="E80" s="181"/>
      <c r="K80" s="129">
        <v>36.0</v>
      </c>
      <c r="L80" s="156" t="str">
        <f t="shared" si="12"/>
        <v> Wigmore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Cestero</v>
      </c>
      <c r="D81" s="178"/>
      <c r="E81" s="181"/>
      <c r="K81" s="129">
        <v>36.0</v>
      </c>
      <c r="L81" s="156" t="str">
        <f t="shared" si="12"/>
        <v> Boggs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Messina</v>
      </c>
      <c r="D82" s="178"/>
      <c r="E82" s="181"/>
      <c r="K82" s="129">
        <v>37.0</v>
      </c>
      <c r="L82" s="156" t="str">
        <f t="shared" si="12"/>
        <v> Wigmore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Cestero</v>
      </c>
      <c r="D83" s="178"/>
      <c r="E83" s="181"/>
      <c r="K83" s="129">
        <v>37.0</v>
      </c>
      <c r="L83" s="156" t="str">
        <f t="shared" si="12"/>
        <v> Boggs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Messina</v>
      </c>
      <c r="D84" s="178"/>
      <c r="E84" s="181"/>
      <c r="K84" s="129">
        <v>38.0</v>
      </c>
      <c r="L84" s="156" t="str">
        <f t="shared" si="12"/>
        <v> Wigmore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Cestero</v>
      </c>
      <c r="D85" s="178"/>
      <c r="E85" s="181"/>
      <c r="K85" s="129">
        <v>38.0</v>
      </c>
      <c r="L85" s="156" t="str">
        <f t="shared" si="12"/>
        <v> Boggs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Messina</v>
      </c>
      <c r="D86" s="178"/>
      <c r="E86" s="181"/>
      <c r="K86" s="129">
        <v>39.0</v>
      </c>
      <c r="L86" s="156" t="str">
        <f t="shared" si="12"/>
        <v> Wigmore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Cestero</v>
      </c>
      <c r="D87" s="178"/>
      <c r="E87" s="181"/>
      <c r="K87" s="129">
        <v>39.0</v>
      </c>
      <c r="L87" s="156" t="str">
        <f t="shared" si="12"/>
        <v> Boggs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Messina</v>
      </c>
      <c r="D88" s="178"/>
      <c r="E88" s="181"/>
      <c r="K88" s="129">
        <v>40.0</v>
      </c>
      <c r="L88" s="156" t="str">
        <f t="shared" si="12"/>
        <v> Wigmore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Cestero</v>
      </c>
      <c r="D89" s="178"/>
      <c r="E89" s="181"/>
      <c r="K89" s="129">
        <v>40.0</v>
      </c>
      <c r="L89" s="156" t="str">
        <f t="shared" si="12"/>
        <v> Boggs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83</v>
      </c>
      <c r="D3" s="189">
        <f t="shared" ref="D3:J3" si="1">SUMPRODUCT(D10:D90,MOD(ROW(D10:D90),2)=0)</f>
        <v>13</v>
      </c>
      <c r="E3" s="189">
        <f t="shared" si="1"/>
        <v>6</v>
      </c>
      <c r="F3" s="189">
        <f t="shared" si="1"/>
        <v>1</v>
      </c>
      <c r="G3" s="189">
        <f t="shared" si="1"/>
        <v>1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79</v>
      </c>
      <c r="M3" s="189">
        <f t="shared" ref="M3:S3" si="2">SUMPRODUCT(M10:M90,MOD(ROW(M10:M90),2)=0)</f>
        <v>14</v>
      </c>
      <c r="N3" s="189">
        <f t="shared" si="2"/>
        <v>6</v>
      </c>
      <c r="O3" s="189">
        <f t="shared" si="2"/>
        <v>2</v>
      </c>
      <c r="P3" s="189">
        <f t="shared" si="2"/>
        <v>0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110</v>
      </c>
      <c r="D4" s="191">
        <f t="shared" ref="D4:J4" si="3">SUMPRODUCT(D10:D90,MOD(ROW(D10:D90),2))</f>
        <v>16</v>
      </c>
      <c r="E4" s="191">
        <f t="shared" si="3"/>
        <v>4</v>
      </c>
      <c r="F4" s="191">
        <f t="shared" si="3"/>
        <v>0</v>
      </c>
      <c r="G4" s="191">
        <f t="shared" si="3"/>
        <v>1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134</v>
      </c>
      <c r="M4" s="191">
        <f t="shared" ref="M4:S4" si="4">SUMPRODUCT(M10:M90,MOD(ROW(M10:M90),2))</f>
        <v>18</v>
      </c>
      <c r="N4" s="191">
        <f t="shared" si="4"/>
        <v>2</v>
      </c>
      <c r="O4" s="191">
        <f t="shared" si="4"/>
        <v>1</v>
      </c>
      <c r="P4" s="191">
        <f t="shared" si="4"/>
        <v>1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Benton %</v>
      </c>
      <c r="D5" s="137">
        <f t="shared" ref="D5:D6" si="6">IFERROR((E3/(E3+D3)),0)</f>
        <v>0.3157894737</v>
      </c>
      <c r="K5" s="135"/>
      <c r="L5" s="136" t="str">
        <f t="shared" ref="L5:L6" si="7">IFERROR((L10 &amp;" %"), "")</f>
        <v> Albright %</v>
      </c>
      <c r="M5" s="137">
        <f t="shared" ref="M5:M6" si="8">IFERROR((N3/(N3+M3)),0)</f>
        <v>0.3</v>
      </c>
      <c r="S5" s="132"/>
      <c r="T5" s="132"/>
      <c r="U5" s="7"/>
    </row>
    <row r="6">
      <c r="A6" s="14"/>
      <c r="B6" s="138"/>
      <c r="C6" s="139" t="str">
        <f t="shared" si="5"/>
        <v> Drolet %</v>
      </c>
      <c r="D6" s="140">
        <f t="shared" si="6"/>
        <v>0.2</v>
      </c>
      <c r="E6" s="141"/>
      <c r="F6" s="141"/>
      <c r="G6" s="141"/>
      <c r="H6" s="141"/>
      <c r="I6" s="141"/>
      <c r="J6" s="141"/>
      <c r="K6" s="138"/>
      <c r="L6" s="139" t="str">
        <f t="shared" si="7"/>
        <v> Wilder %</v>
      </c>
      <c r="M6" s="142">
        <f t="shared" si="8"/>
        <v>0.1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Benton")</f>
        <v> Benton</v>
      </c>
      <c r="D10" s="200">
        <v>1.0</v>
      </c>
      <c r="E10" s="205"/>
      <c r="F10" s="199"/>
      <c r="G10" s="199"/>
      <c r="H10" s="177"/>
      <c r="I10" s="177"/>
      <c r="K10" s="129">
        <v>1.0</v>
      </c>
      <c r="L10" s="136" t="str">
        <f>IFERROR(__xludf.DUMMYFUNCTION("REGEXEXTRACT(L3, ""( .*)+"")")," Albright")</f>
        <v> Albright</v>
      </c>
      <c r="M10" s="197"/>
      <c r="N10" s="198">
        <v>1.0</v>
      </c>
      <c r="O10" s="177"/>
      <c r="P10" s="199"/>
      <c r="Q10" s="177"/>
      <c r="R10" s="177"/>
      <c r="T10" s="132"/>
      <c r="U10" s="7"/>
    </row>
    <row r="11">
      <c r="A11" s="8"/>
      <c r="B11" s="129">
        <v>1.0</v>
      </c>
      <c r="C11" s="136" t="str">
        <f>IFERROR(__xludf.DUMMYFUNCTION("REGEXEXTRACT(C4, ""( .*)+"")")," Drolet")</f>
        <v> Drolet</v>
      </c>
      <c r="D11" s="202">
        <v>1.0</v>
      </c>
      <c r="E11" s="203"/>
      <c r="F11" s="177"/>
      <c r="G11" s="177"/>
      <c r="H11" s="177"/>
      <c r="I11" s="177"/>
      <c r="K11" s="129">
        <v>1.0</v>
      </c>
      <c r="L11" s="136" t="str">
        <f>IFERROR(__xludf.DUMMYFUNCTION("REGEXEXTRACT(L4, ""( .*)+"")")," Wilder")</f>
        <v> Wilder</v>
      </c>
      <c r="M11" s="202">
        <v>1.0</v>
      </c>
      <c r="N11" s="203"/>
      <c r="O11" s="177"/>
      <c r="P11" s="177"/>
      <c r="Q11" s="177"/>
      <c r="R11" s="177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Benton</v>
      </c>
      <c r="D12" s="208"/>
      <c r="E12" s="207">
        <v>1.0</v>
      </c>
      <c r="F12" s="177"/>
      <c r="G12" s="177"/>
      <c r="H12" s="177"/>
      <c r="I12" s="177"/>
      <c r="K12" s="129">
        <f t="shared" ref="K12:K69" si="11">K10+1</f>
        <v>2</v>
      </c>
      <c r="L12" s="156" t="str">
        <f t="shared" ref="L12:L89" si="12">L10</f>
        <v> Albright</v>
      </c>
      <c r="M12" s="200">
        <v>1.0</v>
      </c>
      <c r="N12" s="201"/>
      <c r="O12" s="177"/>
      <c r="P12" s="177"/>
      <c r="Q12" s="177"/>
      <c r="R12" s="177"/>
      <c r="T12" s="132"/>
      <c r="U12" s="7"/>
    </row>
    <row r="13">
      <c r="A13" s="14"/>
      <c r="B13" s="135">
        <f t="shared" si="9"/>
        <v>2</v>
      </c>
      <c r="C13" s="156" t="str">
        <f t="shared" si="10"/>
        <v> Drolet</v>
      </c>
      <c r="D13" s="200">
        <v>1.0</v>
      </c>
      <c r="E13" s="201"/>
      <c r="F13" s="177"/>
      <c r="G13" s="191"/>
      <c r="H13" s="177"/>
      <c r="I13" s="177"/>
      <c r="K13" s="135">
        <f t="shared" si="11"/>
        <v>2</v>
      </c>
      <c r="L13" s="156" t="str">
        <f t="shared" si="12"/>
        <v> Wilder</v>
      </c>
      <c r="M13" s="202">
        <v>1.0</v>
      </c>
      <c r="N13" s="188"/>
      <c r="O13" s="177"/>
      <c r="P13" s="177"/>
      <c r="Q13" s="177"/>
      <c r="R13" s="177"/>
      <c r="T13" s="132"/>
      <c r="U13" s="7"/>
    </row>
    <row r="14">
      <c r="A14" s="8"/>
      <c r="B14" s="129">
        <f t="shared" si="9"/>
        <v>3</v>
      </c>
      <c r="C14" s="156" t="str">
        <f t="shared" si="10"/>
        <v> Benton</v>
      </c>
      <c r="D14" s="202">
        <v>1.0</v>
      </c>
      <c r="E14" s="203"/>
      <c r="F14" s="177"/>
      <c r="G14" s="177"/>
      <c r="H14" s="177"/>
      <c r="I14" s="177"/>
      <c r="K14" s="129">
        <f t="shared" si="11"/>
        <v>3</v>
      </c>
      <c r="L14" s="156" t="str">
        <f t="shared" si="12"/>
        <v> Albright</v>
      </c>
      <c r="M14" s="208"/>
      <c r="N14" s="207">
        <v>1.0</v>
      </c>
      <c r="O14" s="177"/>
      <c r="P14" s="177"/>
      <c r="Q14" s="177"/>
      <c r="R14" s="177"/>
      <c r="T14" s="132"/>
      <c r="U14" s="7"/>
    </row>
    <row r="15">
      <c r="A15" s="14"/>
      <c r="B15" s="135">
        <f t="shared" si="9"/>
        <v>3</v>
      </c>
      <c r="C15" s="156" t="str">
        <f t="shared" si="10"/>
        <v> Drolet</v>
      </c>
      <c r="D15" s="200"/>
      <c r="E15" s="198">
        <v>1.0</v>
      </c>
      <c r="F15" s="177"/>
      <c r="G15" s="177"/>
      <c r="H15" s="177"/>
      <c r="I15" s="177"/>
      <c r="K15" s="135">
        <f t="shared" si="11"/>
        <v>3</v>
      </c>
      <c r="L15" s="156" t="str">
        <f t="shared" si="12"/>
        <v> Wilder</v>
      </c>
      <c r="M15" s="200">
        <v>1.0</v>
      </c>
      <c r="N15" s="205"/>
      <c r="O15" s="177"/>
      <c r="P15" s="177"/>
      <c r="Q15" s="177"/>
      <c r="R15" s="177"/>
      <c r="T15" s="132"/>
      <c r="U15" s="7"/>
    </row>
    <row r="16">
      <c r="A16" s="8"/>
      <c r="B16" s="129">
        <f t="shared" si="9"/>
        <v>4</v>
      </c>
      <c r="C16" s="156" t="str">
        <f t="shared" si="10"/>
        <v> Benton</v>
      </c>
      <c r="D16" s="197"/>
      <c r="E16" s="198">
        <v>1.0</v>
      </c>
      <c r="F16" s="177"/>
      <c r="G16" s="177"/>
      <c r="H16" s="177"/>
      <c r="I16" s="177"/>
      <c r="K16" s="129">
        <f t="shared" si="11"/>
        <v>4</v>
      </c>
      <c r="L16" s="156" t="str">
        <f t="shared" si="12"/>
        <v> Albright</v>
      </c>
      <c r="M16" s="200">
        <v>1.0</v>
      </c>
      <c r="N16" s="205"/>
      <c r="O16" s="177"/>
      <c r="P16" s="177"/>
      <c r="Q16" s="177"/>
      <c r="R16" s="177"/>
      <c r="T16" s="132"/>
      <c r="U16" s="7"/>
    </row>
    <row r="17">
      <c r="A17" s="14"/>
      <c r="B17" s="135">
        <f t="shared" si="9"/>
        <v>4</v>
      </c>
      <c r="C17" s="156" t="str">
        <f t="shared" si="10"/>
        <v> Drolet</v>
      </c>
      <c r="D17" s="200">
        <v>1.0</v>
      </c>
      <c r="E17" s="201"/>
      <c r="F17" s="177"/>
      <c r="G17" s="177"/>
      <c r="H17" s="177"/>
      <c r="I17" s="177"/>
      <c r="K17" s="135">
        <f t="shared" si="11"/>
        <v>4</v>
      </c>
      <c r="L17" s="156" t="str">
        <f t="shared" si="12"/>
        <v> Wilder</v>
      </c>
      <c r="M17" s="202">
        <v>1.0</v>
      </c>
      <c r="N17" s="203"/>
      <c r="O17" s="177"/>
      <c r="P17" s="177"/>
      <c r="Q17" s="177"/>
      <c r="R17" s="177"/>
      <c r="T17" s="132"/>
      <c r="U17" s="7"/>
    </row>
    <row r="18">
      <c r="A18" s="8"/>
      <c r="B18" s="129">
        <f t="shared" si="9"/>
        <v>5</v>
      </c>
      <c r="C18" s="156" t="str">
        <f t="shared" si="10"/>
        <v> Benton</v>
      </c>
      <c r="D18" s="200">
        <v>1.0</v>
      </c>
      <c r="E18" s="201"/>
      <c r="F18" s="177"/>
      <c r="G18" s="191"/>
      <c r="H18" s="177"/>
      <c r="I18" s="177"/>
      <c r="K18" s="129">
        <f t="shared" si="11"/>
        <v>5</v>
      </c>
      <c r="L18" s="156" t="str">
        <f t="shared" si="12"/>
        <v> Albright</v>
      </c>
      <c r="M18" s="200"/>
      <c r="N18" s="198">
        <v>1.0</v>
      </c>
      <c r="O18" s="177"/>
      <c r="P18" s="177"/>
      <c r="Q18" s="177"/>
      <c r="R18" s="177"/>
      <c r="T18" s="132"/>
      <c r="U18" s="7"/>
    </row>
    <row r="19">
      <c r="A19" s="14"/>
      <c r="B19" s="135">
        <f t="shared" si="9"/>
        <v>5</v>
      </c>
      <c r="C19" s="156" t="str">
        <f t="shared" si="10"/>
        <v> Drolet</v>
      </c>
      <c r="D19" s="200">
        <v>1.0</v>
      </c>
      <c r="E19" s="205"/>
      <c r="F19" s="177"/>
      <c r="G19" s="177"/>
      <c r="H19" s="177"/>
      <c r="I19" s="177"/>
      <c r="K19" s="135">
        <f t="shared" si="11"/>
        <v>5</v>
      </c>
      <c r="L19" s="156" t="str">
        <f t="shared" si="12"/>
        <v> Wilder</v>
      </c>
      <c r="M19" s="202">
        <v>1.0</v>
      </c>
      <c r="N19" s="203"/>
      <c r="O19" s="177"/>
      <c r="P19" s="177"/>
      <c r="Q19" s="177"/>
      <c r="R19" s="177"/>
      <c r="T19" s="132"/>
      <c r="U19" s="7"/>
    </row>
    <row r="20">
      <c r="A20" s="8"/>
      <c r="B20" s="129">
        <f t="shared" si="9"/>
        <v>6</v>
      </c>
      <c r="C20" s="156" t="str">
        <f t="shared" si="10"/>
        <v> Benton</v>
      </c>
      <c r="D20" s="200">
        <v>1.0</v>
      </c>
      <c r="E20" s="201"/>
      <c r="F20" s="177"/>
      <c r="G20" s="177"/>
      <c r="H20" s="177"/>
      <c r="I20" s="177"/>
      <c r="K20" s="129">
        <f t="shared" si="11"/>
        <v>6</v>
      </c>
      <c r="L20" s="156" t="str">
        <f t="shared" si="12"/>
        <v> Albright</v>
      </c>
      <c r="M20" s="197"/>
      <c r="N20" s="198">
        <v>1.0</v>
      </c>
      <c r="O20" s="177"/>
      <c r="P20" s="177"/>
      <c r="Q20" s="177"/>
      <c r="R20" s="177"/>
      <c r="T20" s="132"/>
      <c r="U20" s="7"/>
    </row>
    <row r="21">
      <c r="A21" s="14"/>
      <c r="B21" s="135">
        <f t="shared" si="9"/>
        <v>6</v>
      </c>
      <c r="C21" s="156" t="str">
        <f t="shared" si="10"/>
        <v> Drolet</v>
      </c>
      <c r="D21" s="200">
        <v>1.0</v>
      </c>
      <c r="E21" s="205"/>
      <c r="F21" s="177"/>
      <c r="G21" s="177"/>
      <c r="H21" s="177"/>
      <c r="I21" s="177"/>
      <c r="K21" s="135">
        <f t="shared" si="11"/>
        <v>6</v>
      </c>
      <c r="L21" s="156" t="str">
        <f t="shared" si="12"/>
        <v> Wilder</v>
      </c>
      <c r="M21" s="200">
        <v>1.0</v>
      </c>
      <c r="N21" s="205"/>
      <c r="O21" s="177"/>
      <c r="P21" s="177"/>
      <c r="Q21" s="177"/>
      <c r="R21" s="177"/>
      <c r="T21" s="132"/>
      <c r="U21" s="7"/>
    </row>
    <row r="22">
      <c r="A22" s="8"/>
      <c r="B22" s="129">
        <f t="shared" si="9"/>
        <v>7</v>
      </c>
      <c r="C22" s="156" t="str">
        <f t="shared" si="10"/>
        <v> Benton</v>
      </c>
      <c r="D22" s="208"/>
      <c r="E22" s="207">
        <v>1.0</v>
      </c>
      <c r="F22" s="177"/>
      <c r="G22" s="177"/>
      <c r="H22" s="177"/>
      <c r="I22" s="177"/>
      <c r="K22" s="129">
        <f t="shared" si="11"/>
        <v>7</v>
      </c>
      <c r="L22" s="156" t="str">
        <f t="shared" si="12"/>
        <v> Albright</v>
      </c>
      <c r="M22" s="200">
        <v>1.0</v>
      </c>
      <c r="N22" s="205"/>
      <c r="O22" s="177"/>
      <c r="P22" s="177"/>
      <c r="Q22" s="177"/>
      <c r="R22" s="177"/>
      <c r="T22" s="132"/>
      <c r="U22" s="7"/>
    </row>
    <row r="23">
      <c r="A23" s="14"/>
      <c r="B23" s="135">
        <f t="shared" si="9"/>
        <v>7</v>
      </c>
      <c r="C23" s="156" t="str">
        <f t="shared" si="10"/>
        <v> Drolet</v>
      </c>
      <c r="D23" s="197"/>
      <c r="E23" s="198">
        <v>1.0</v>
      </c>
      <c r="F23" s="177"/>
      <c r="G23" s="177"/>
      <c r="H23" s="177"/>
      <c r="I23" s="177"/>
      <c r="K23" s="135">
        <f t="shared" si="11"/>
        <v>7</v>
      </c>
      <c r="L23" s="156" t="str">
        <f t="shared" si="12"/>
        <v> Wilder</v>
      </c>
      <c r="M23" s="200">
        <v>1.0</v>
      </c>
      <c r="N23" s="205"/>
      <c r="O23" s="177"/>
      <c r="P23" s="177"/>
      <c r="Q23" s="177"/>
      <c r="R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 Benton</v>
      </c>
      <c r="D24" s="200">
        <v>1.0</v>
      </c>
      <c r="E24" s="205"/>
      <c r="F24" s="127">
        <v>1.0</v>
      </c>
      <c r="G24" s="177"/>
      <c r="H24" s="177"/>
      <c r="I24" s="177"/>
      <c r="K24" s="129">
        <f t="shared" si="11"/>
        <v>8</v>
      </c>
      <c r="L24" s="156" t="str">
        <f t="shared" si="12"/>
        <v> Albright</v>
      </c>
      <c r="M24" s="202"/>
      <c r="N24" s="207">
        <v>1.0</v>
      </c>
      <c r="O24" s="177"/>
      <c r="P24" s="177"/>
      <c r="Q24" s="177"/>
      <c r="R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 Drolet</v>
      </c>
      <c r="D25" s="202">
        <v>1.0</v>
      </c>
      <c r="E25" s="188"/>
      <c r="F25" s="177"/>
      <c r="G25" s="177"/>
      <c r="H25" s="177"/>
      <c r="I25" s="177"/>
      <c r="K25" s="135">
        <f t="shared" si="11"/>
        <v>8</v>
      </c>
      <c r="L25" s="156" t="str">
        <f t="shared" si="12"/>
        <v> Wilder</v>
      </c>
      <c r="M25" s="202">
        <v>1.0</v>
      </c>
      <c r="N25" s="203"/>
      <c r="O25" s="177"/>
      <c r="P25" s="177"/>
      <c r="Q25" s="177"/>
      <c r="R25" s="177"/>
      <c r="T25" s="132"/>
      <c r="U25" s="7"/>
    </row>
    <row r="26">
      <c r="A26" s="8"/>
      <c r="B26" s="129">
        <f t="shared" si="9"/>
        <v>9</v>
      </c>
      <c r="C26" s="156" t="str">
        <f t="shared" si="10"/>
        <v> Benton</v>
      </c>
      <c r="D26" s="202">
        <v>1.0</v>
      </c>
      <c r="E26" s="188"/>
      <c r="F26" s="177"/>
      <c r="G26" s="177"/>
      <c r="H26" s="177"/>
      <c r="I26" s="177"/>
      <c r="K26" s="129">
        <f t="shared" si="11"/>
        <v>9</v>
      </c>
      <c r="L26" s="156" t="str">
        <f t="shared" si="12"/>
        <v> Albright</v>
      </c>
      <c r="M26" s="197"/>
      <c r="N26" s="198">
        <v>1.0</v>
      </c>
      <c r="O26" s="177"/>
      <c r="P26" s="177"/>
      <c r="Q26" s="177"/>
      <c r="R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 Drolet</v>
      </c>
      <c r="D27" s="202">
        <v>1.0</v>
      </c>
      <c r="E27" s="188"/>
      <c r="F27" s="177"/>
      <c r="G27" s="177"/>
      <c r="H27" s="177"/>
      <c r="I27" s="177"/>
      <c r="K27" s="135">
        <f t="shared" si="11"/>
        <v>9</v>
      </c>
      <c r="L27" s="156" t="str">
        <f t="shared" si="12"/>
        <v> Wilder</v>
      </c>
      <c r="M27" s="200">
        <v>1.0</v>
      </c>
      <c r="N27" s="205"/>
      <c r="O27" s="177"/>
      <c r="P27" s="177"/>
      <c r="Q27" s="177"/>
      <c r="R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 Benton</v>
      </c>
      <c r="D28" s="200">
        <v>1.0</v>
      </c>
      <c r="E28" s="205"/>
      <c r="F28" s="177"/>
      <c r="G28" s="217">
        <v>1.0</v>
      </c>
      <c r="H28" s="177"/>
      <c r="I28" s="177"/>
      <c r="K28" s="129">
        <f t="shared" si="11"/>
        <v>10</v>
      </c>
      <c r="L28" s="156" t="str">
        <f t="shared" si="12"/>
        <v> Albright</v>
      </c>
      <c r="M28" s="200">
        <v>1.0</v>
      </c>
      <c r="N28" s="205"/>
      <c r="O28" s="127">
        <v>1.0</v>
      </c>
      <c r="P28" s="177"/>
      <c r="Q28" s="177"/>
      <c r="R28" s="177"/>
      <c r="T28" s="132"/>
      <c r="U28" s="7"/>
    </row>
    <row r="29">
      <c r="A29" s="14"/>
      <c r="B29" s="135">
        <f t="shared" si="9"/>
        <v>10</v>
      </c>
      <c r="C29" s="156" t="str">
        <f t="shared" si="10"/>
        <v> Drolet</v>
      </c>
      <c r="D29" s="200">
        <v>1.0</v>
      </c>
      <c r="E29" s="205"/>
      <c r="F29" s="177"/>
      <c r="G29" s="177"/>
      <c r="H29" s="177"/>
      <c r="I29" s="177"/>
      <c r="K29" s="135">
        <f t="shared" si="11"/>
        <v>10</v>
      </c>
      <c r="L29" s="156" t="str">
        <f t="shared" si="12"/>
        <v> Wilder</v>
      </c>
      <c r="M29" s="200">
        <v>1.0</v>
      </c>
      <c r="N29" s="205"/>
      <c r="O29" s="177"/>
      <c r="P29" s="177"/>
      <c r="Q29" s="177"/>
      <c r="R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 Benton</v>
      </c>
      <c r="D30" s="200">
        <v>1.0</v>
      </c>
      <c r="E30" s="205"/>
      <c r="F30" s="177"/>
      <c r="G30" s="177"/>
      <c r="H30" s="177"/>
      <c r="I30" s="177"/>
      <c r="K30" s="129">
        <f t="shared" si="11"/>
        <v>11</v>
      </c>
      <c r="L30" s="156" t="str">
        <f t="shared" si="12"/>
        <v> Albright</v>
      </c>
      <c r="M30" s="200">
        <v>1.0</v>
      </c>
      <c r="N30" s="205"/>
      <c r="O30" s="177"/>
      <c r="P30" s="177"/>
      <c r="Q30" s="177"/>
      <c r="R30" s="177"/>
      <c r="T30" s="132"/>
      <c r="U30" s="7"/>
    </row>
    <row r="31">
      <c r="A31" s="14"/>
      <c r="B31" s="135">
        <f t="shared" si="9"/>
        <v>11</v>
      </c>
      <c r="C31" s="156" t="str">
        <f t="shared" si="10"/>
        <v> Drolet</v>
      </c>
      <c r="D31" s="200">
        <v>1.0</v>
      </c>
      <c r="E31" s="205"/>
      <c r="F31" s="177"/>
      <c r="G31" s="177"/>
      <c r="H31" s="177"/>
      <c r="I31" s="177"/>
      <c r="K31" s="135">
        <f t="shared" si="11"/>
        <v>11</v>
      </c>
      <c r="L31" s="156" t="str">
        <f t="shared" si="12"/>
        <v> Wilder</v>
      </c>
      <c r="M31" s="202">
        <v>1.0</v>
      </c>
      <c r="N31" s="203"/>
      <c r="O31" s="177"/>
      <c r="P31" s="177"/>
      <c r="Q31" s="177"/>
      <c r="R31" s="177"/>
      <c r="T31" s="132"/>
      <c r="U31" s="7"/>
    </row>
    <row r="32">
      <c r="A32" s="8"/>
      <c r="B32" s="129">
        <f t="shared" si="9"/>
        <v>12</v>
      </c>
      <c r="C32" s="156" t="str">
        <f t="shared" si="10"/>
        <v> Benton</v>
      </c>
      <c r="D32" s="200">
        <v>1.0</v>
      </c>
      <c r="E32" s="205"/>
      <c r="F32" s="177"/>
      <c r="G32" s="177"/>
      <c r="H32" s="177"/>
      <c r="I32" s="177"/>
      <c r="K32" s="129">
        <f t="shared" si="11"/>
        <v>12</v>
      </c>
      <c r="L32" s="156" t="str">
        <f t="shared" si="12"/>
        <v> Albright</v>
      </c>
      <c r="M32" s="200">
        <v>1.0</v>
      </c>
      <c r="N32" s="205"/>
      <c r="O32" s="177"/>
      <c r="P32" s="177"/>
      <c r="Q32" s="177"/>
      <c r="R32" s="177"/>
      <c r="T32" s="132"/>
      <c r="U32" s="7"/>
    </row>
    <row r="33">
      <c r="A33" s="14"/>
      <c r="B33" s="135">
        <f t="shared" si="9"/>
        <v>12</v>
      </c>
      <c r="C33" s="156" t="str">
        <f t="shared" si="10"/>
        <v> Drolet</v>
      </c>
      <c r="D33" s="200">
        <v>1.0</v>
      </c>
      <c r="E33" s="205"/>
      <c r="F33" s="177"/>
      <c r="G33" s="127">
        <v>1.0</v>
      </c>
      <c r="H33" s="177"/>
      <c r="I33" s="177"/>
      <c r="K33" s="135">
        <f t="shared" si="11"/>
        <v>12</v>
      </c>
      <c r="L33" s="156" t="str">
        <f t="shared" si="12"/>
        <v> Wilder</v>
      </c>
      <c r="M33" s="200">
        <v>1.0</v>
      </c>
      <c r="N33" s="201"/>
      <c r="O33" s="177"/>
      <c r="P33" s="177"/>
      <c r="Q33" s="177"/>
      <c r="R33" s="177"/>
      <c r="T33" s="132"/>
      <c r="U33" s="7"/>
    </row>
    <row r="34">
      <c r="A34" s="8"/>
      <c r="B34" s="129">
        <f t="shared" si="9"/>
        <v>13</v>
      </c>
      <c r="C34" s="156" t="str">
        <f t="shared" si="10"/>
        <v> Benton</v>
      </c>
      <c r="D34" s="200">
        <v>1.0</v>
      </c>
      <c r="E34" s="205"/>
      <c r="F34" s="177"/>
      <c r="G34" s="177"/>
      <c r="H34" s="177"/>
      <c r="I34" s="177"/>
      <c r="K34" s="129">
        <f t="shared" si="11"/>
        <v>13</v>
      </c>
      <c r="L34" s="156" t="str">
        <f t="shared" si="12"/>
        <v> Albright</v>
      </c>
      <c r="M34" s="202">
        <v>1.0</v>
      </c>
      <c r="N34" s="188"/>
      <c r="O34" s="177"/>
      <c r="P34" s="177"/>
      <c r="Q34" s="177"/>
      <c r="R34" s="177"/>
      <c r="T34" s="132"/>
      <c r="U34" s="7"/>
    </row>
    <row r="35">
      <c r="A35" s="14"/>
      <c r="B35" s="135">
        <f t="shared" si="9"/>
        <v>13</v>
      </c>
      <c r="C35" s="156" t="str">
        <f t="shared" si="10"/>
        <v> Drolet</v>
      </c>
      <c r="D35" s="202">
        <v>1.0</v>
      </c>
      <c r="E35" s="188"/>
      <c r="F35" s="177"/>
      <c r="G35" s="177"/>
      <c r="H35" s="177"/>
      <c r="I35" s="177"/>
      <c r="K35" s="135">
        <f t="shared" si="11"/>
        <v>13</v>
      </c>
      <c r="L35" s="156" t="str">
        <f t="shared" si="12"/>
        <v> Wilder</v>
      </c>
      <c r="M35" s="200">
        <v>1.0</v>
      </c>
      <c r="N35" s="205"/>
      <c r="O35" s="177"/>
      <c r="P35" s="127">
        <v>1.0</v>
      </c>
      <c r="Q35" s="177"/>
      <c r="R35" s="177"/>
      <c r="T35" s="132"/>
      <c r="U35" s="7"/>
    </row>
    <row r="36">
      <c r="A36" s="8"/>
      <c r="B36" s="129">
        <f t="shared" si="9"/>
        <v>14</v>
      </c>
      <c r="C36" s="156" t="str">
        <f t="shared" si="10"/>
        <v> Benton</v>
      </c>
      <c r="D36" s="208"/>
      <c r="E36" s="198">
        <v>1.0</v>
      </c>
      <c r="F36" s="177"/>
      <c r="G36" s="177"/>
      <c r="H36" s="177"/>
      <c r="I36" s="177"/>
      <c r="K36" s="129">
        <f t="shared" si="11"/>
        <v>14</v>
      </c>
      <c r="L36" s="156" t="str">
        <f t="shared" si="12"/>
        <v> Albright</v>
      </c>
      <c r="M36" s="202">
        <v>1.0</v>
      </c>
      <c r="N36" s="205"/>
      <c r="O36" s="177"/>
      <c r="P36" s="177"/>
      <c r="Q36" s="177"/>
      <c r="R36" s="177"/>
      <c r="T36" s="132"/>
      <c r="U36" s="7"/>
    </row>
    <row r="37">
      <c r="A37" s="14"/>
      <c r="B37" s="135">
        <f t="shared" si="9"/>
        <v>14</v>
      </c>
      <c r="C37" s="156" t="str">
        <f t="shared" si="10"/>
        <v> Drolet</v>
      </c>
      <c r="D37" s="202">
        <v>1.0</v>
      </c>
      <c r="E37" s="188"/>
      <c r="F37" s="177"/>
      <c r="G37" s="177"/>
      <c r="H37" s="177"/>
      <c r="I37" s="177"/>
      <c r="K37" s="135">
        <f t="shared" si="11"/>
        <v>14</v>
      </c>
      <c r="L37" s="156" t="str">
        <f t="shared" si="12"/>
        <v> Wilder</v>
      </c>
      <c r="M37" s="202">
        <v>1.0</v>
      </c>
      <c r="N37" s="188"/>
      <c r="O37" s="177"/>
      <c r="P37" s="177"/>
      <c r="Q37" s="177"/>
      <c r="R37" s="177"/>
      <c r="T37" s="132"/>
      <c r="U37" s="7"/>
    </row>
    <row r="38">
      <c r="A38" s="8"/>
      <c r="B38" s="129">
        <f t="shared" si="9"/>
        <v>15</v>
      </c>
      <c r="C38" s="156" t="str">
        <f t="shared" si="10"/>
        <v> Benton</v>
      </c>
      <c r="D38" s="202">
        <v>1.0</v>
      </c>
      <c r="E38" s="205"/>
      <c r="F38" s="177"/>
      <c r="G38" s="177"/>
      <c r="H38" s="177"/>
      <c r="I38" s="177"/>
      <c r="K38" s="129">
        <f t="shared" si="11"/>
        <v>15</v>
      </c>
      <c r="L38" s="156" t="str">
        <f t="shared" si="12"/>
        <v> Albright</v>
      </c>
      <c r="M38" s="202">
        <v>1.0</v>
      </c>
      <c r="N38" s="205"/>
      <c r="O38" s="177"/>
      <c r="P38" s="177"/>
      <c r="Q38" s="177"/>
      <c r="R38" s="177"/>
      <c r="T38" s="132"/>
      <c r="U38" s="7"/>
    </row>
    <row r="39">
      <c r="A39" s="14"/>
      <c r="B39" s="135">
        <f t="shared" si="9"/>
        <v>15</v>
      </c>
      <c r="C39" s="156" t="str">
        <f t="shared" si="10"/>
        <v> Drolet</v>
      </c>
      <c r="D39" s="200">
        <v>1.0</v>
      </c>
      <c r="E39" s="205"/>
      <c r="F39" s="177"/>
      <c r="G39" s="177"/>
      <c r="H39" s="177"/>
      <c r="I39" s="177"/>
      <c r="K39" s="135">
        <f t="shared" si="11"/>
        <v>15</v>
      </c>
      <c r="L39" s="156" t="str">
        <f t="shared" si="12"/>
        <v> Wilder</v>
      </c>
      <c r="M39" s="208"/>
      <c r="N39" s="198">
        <v>1.0</v>
      </c>
      <c r="O39" s="177"/>
      <c r="P39" s="177"/>
      <c r="Q39" s="177"/>
      <c r="R39" s="177"/>
      <c r="T39" s="132"/>
      <c r="U39" s="7"/>
    </row>
    <row r="40">
      <c r="A40" s="8"/>
      <c r="B40" s="129">
        <f t="shared" si="9"/>
        <v>16</v>
      </c>
      <c r="C40" s="156" t="str">
        <f t="shared" si="10"/>
        <v> Benton</v>
      </c>
      <c r="D40" s="180"/>
      <c r="E40" s="179">
        <v>1.0</v>
      </c>
      <c r="F40" s="177"/>
      <c r="G40" s="177"/>
      <c r="H40" s="177"/>
      <c r="I40" s="177"/>
      <c r="K40" s="129">
        <f t="shared" si="11"/>
        <v>16</v>
      </c>
      <c r="L40" s="156" t="str">
        <f t="shared" si="12"/>
        <v> Albright</v>
      </c>
      <c r="M40" s="202">
        <v>1.0</v>
      </c>
      <c r="N40" s="205"/>
      <c r="O40" s="127">
        <v>1.0</v>
      </c>
      <c r="P40" s="177"/>
      <c r="Q40" s="177"/>
      <c r="R40" s="177"/>
      <c r="T40" s="132"/>
      <c r="U40" s="7"/>
    </row>
    <row r="41">
      <c r="A41" s="14"/>
      <c r="B41" s="135">
        <f t="shared" si="9"/>
        <v>16</v>
      </c>
      <c r="C41" s="156" t="str">
        <f t="shared" si="10"/>
        <v> Drolet</v>
      </c>
      <c r="D41" s="180">
        <v>1.0</v>
      </c>
      <c r="E41" s="181"/>
      <c r="F41" s="177"/>
      <c r="G41" s="177"/>
      <c r="H41" s="177"/>
      <c r="I41" s="177"/>
      <c r="K41" s="135">
        <f t="shared" si="11"/>
        <v>16</v>
      </c>
      <c r="L41" s="156" t="str">
        <f t="shared" si="12"/>
        <v> Wilder</v>
      </c>
      <c r="M41" s="202">
        <v>1.0</v>
      </c>
      <c r="N41" s="201"/>
      <c r="O41" s="127">
        <v>1.0</v>
      </c>
      <c r="P41" s="177"/>
      <c r="Q41" s="177"/>
      <c r="R41" s="177"/>
      <c r="T41" s="132"/>
      <c r="U41" s="7"/>
    </row>
    <row r="42">
      <c r="A42" s="8"/>
      <c r="B42" s="129">
        <f t="shared" si="9"/>
        <v>17</v>
      </c>
      <c r="C42" s="156" t="str">
        <f t="shared" si="10"/>
        <v> Benton</v>
      </c>
      <c r="D42" s="180"/>
      <c r="E42" s="179">
        <v>1.0</v>
      </c>
      <c r="F42" s="177"/>
      <c r="G42" s="177"/>
      <c r="H42" s="177"/>
      <c r="I42" s="177"/>
      <c r="K42" s="129">
        <f t="shared" si="11"/>
        <v>17</v>
      </c>
      <c r="L42" s="156" t="str">
        <f t="shared" si="12"/>
        <v> Albright</v>
      </c>
      <c r="M42" s="202">
        <v>1.0</v>
      </c>
      <c r="N42" s="205"/>
      <c r="O42" s="177"/>
      <c r="P42" s="177"/>
      <c r="Q42" s="177"/>
      <c r="R42" s="177"/>
      <c r="T42" s="132"/>
      <c r="U42" s="7"/>
    </row>
    <row r="43">
      <c r="A43" s="14"/>
      <c r="B43" s="135">
        <f t="shared" si="9"/>
        <v>17</v>
      </c>
      <c r="C43" s="156" t="str">
        <f t="shared" si="10"/>
        <v> Drolet</v>
      </c>
      <c r="D43" s="180">
        <v>1.0</v>
      </c>
      <c r="E43" s="179"/>
      <c r="F43" s="177"/>
      <c r="G43" s="177"/>
      <c r="H43" s="177"/>
      <c r="I43" s="177"/>
      <c r="K43" s="135">
        <f t="shared" si="11"/>
        <v>17</v>
      </c>
      <c r="L43" s="156" t="str">
        <f t="shared" si="12"/>
        <v> Wilder</v>
      </c>
      <c r="M43" s="180"/>
      <c r="N43" s="179">
        <v>1.0</v>
      </c>
      <c r="T43" s="132"/>
      <c r="U43" s="7"/>
    </row>
    <row r="44">
      <c r="A44" s="8"/>
      <c r="B44" s="129">
        <f t="shared" si="9"/>
        <v>18</v>
      </c>
      <c r="C44" s="156" t="str">
        <f t="shared" si="10"/>
        <v> Benton</v>
      </c>
      <c r="D44" s="180">
        <v>1.0</v>
      </c>
      <c r="E44" s="181"/>
      <c r="F44" s="177"/>
      <c r="G44" s="177"/>
      <c r="H44" s="177"/>
      <c r="I44" s="177"/>
      <c r="K44" s="129">
        <f t="shared" si="11"/>
        <v>18</v>
      </c>
      <c r="L44" s="156" t="str">
        <f t="shared" si="12"/>
        <v> Albright</v>
      </c>
      <c r="M44" s="180">
        <v>1.0</v>
      </c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Drolet</v>
      </c>
      <c r="D45" s="180">
        <v>1.0</v>
      </c>
      <c r="E45" s="181"/>
      <c r="F45" s="177"/>
      <c r="G45" s="177"/>
      <c r="H45" s="177"/>
      <c r="I45" s="177"/>
      <c r="K45" s="129">
        <f t="shared" si="11"/>
        <v>18</v>
      </c>
      <c r="L45" s="156" t="str">
        <f t="shared" si="12"/>
        <v> Wilder</v>
      </c>
      <c r="M45" s="180">
        <v>1.0</v>
      </c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Benton</v>
      </c>
      <c r="D46" s="180">
        <v>1.0</v>
      </c>
      <c r="E46" s="181"/>
      <c r="F46" s="177"/>
      <c r="G46" s="177"/>
      <c r="H46" s="177"/>
      <c r="I46" s="177"/>
      <c r="K46" s="135">
        <f t="shared" si="11"/>
        <v>19</v>
      </c>
      <c r="L46" s="156" t="str">
        <f t="shared" si="12"/>
        <v> Albright</v>
      </c>
      <c r="M46" s="180">
        <v>1.0</v>
      </c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Drolet</v>
      </c>
      <c r="D47" s="180"/>
      <c r="E47" s="179">
        <v>1.0</v>
      </c>
      <c r="F47" s="177"/>
      <c r="G47" s="177"/>
      <c r="H47" s="177"/>
      <c r="I47" s="177"/>
      <c r="K47" s="129">
        <f t="shared" si="11"/>
        <v>19</v>
      </c>
      <c r="L47" s="156" t="str">
        <f t="shared" si="12"/>
        <v> Wilder</v>
      </c>
      <c r="M47" s="180">
        <v>1.0</v>
      </c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Benton</v>
      </c>
      <c r="D48" s="180"/>
      <c r="E48" s="181"/>
      <c r="F48" s="177"/>
      <c r="G48" s="177"/>
      <c r="H48" s="177"/>
      <c r="I48" s="177"/>
      <c r="K48" s="135">
        <f t="shared" si="11"/>
        <v>20</v>
      </c>
      <c r="L48" s="156" t="str">
        <f t="shared" si="12"/>
        <v> Albright</v>
      </c>
      <c r="M48" s="180">
        <v>1.0</v>
      </c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Drolet</v>
      </c>
      <c r="D49" s="178"/>
      <c r="E49" s="179">
        <v>1.0</v>
      </c>
      <c r="F49" s="177"/>
      <c r="G49" s="177"/>
      <c r="H49" s="177"/>
      <c r="I49" s="177"/>
      <c r="K49" s="129">
        <f t="shared" si="11"/>
        <v>20</v>
      </c>
      <c r="L49" s="156" t="str">
        <f t="shared" si="12"/>
        <v> Wilder</v>
      </c>
      <c r="M49" s="180">
        <v>1.0</v>
      </c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Benton</v>
      </c>
      <c r="D50" s="180"/>
      <c r="E50" s="181"/>
      <c r="F50" s="177"/>
      <c r="G50" s="177"/>
      <c r="H50" s="177"/>
      <c r="I50" s="177"/>
      <c r="K50" s="129">
        <f t="shared" si="11"/>
        <v>21</v>
      </c>
      <c r="L50" s="156" t="str">
        <f t="shared" si="12"/>
        <v> Albright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Drolet</v>
      </c>
      <c r="D51" s="180"/>
      <c r="E51" s="181"/>
      <c r="F51" s="177"/>
      <c r="G51" s="177"/>
      <c r="H51" s="177"/>
      <c r="I51" s="177"/>
      <c r="K51" s="135">
        <f t="shared" si="11"/>
        <v>21</v>
      </c>
      <c r="L51" s="156" t="str">
        <f t="shared" si="12"/>
        <v> Wilder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Benton</v>
      </c>
      <c r="D52" s="178"/>
      <c r="E52" s="181"/>
      <c r="F52" s="177"/>
      <c r="G52" s="177"/>
      <c r="H52" s="177"/>
      <c r="I52" s="177"/>
      <c r="K52" s="129">
        <f t="shared" si="11"/>
        <v>22</v>
      </c>
      <c r="L52" s="156" t="str">
        <f t="shared" si="12"/>
        <v> Albright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Drolet</v>
      </c>
      <c r="D53" s="178"/>
      <c r="E53" s="181"/>
      <c r="F53" s="177"/>
      <c r="G53" s="177"/>
      <c r="H53" s="177"/>
      <c r="I53" s="177"/>
      <c r="K53" s="135">
        <f t="shared" si="11"/>
        <v>22</v>
      </c>
      <c r="L53" s="156" t="str">
        <f t="shared" si="12"/>
        <v> Wilder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Benton</v>
      </c>
      <c r="D54" s="178"/>
      <c r="E54" s="181"/>
      <c r="F54" s="177"/>
      <c r="G54" s="177"/>
      <c r="H54" s="177"/>
      <c r="I54" s="177"/>
      <c r="K54" s="129">
        <f t="shared" si="11"/>
        <v>23</v>
      </c>
      <c r="L54" s="156" t="str">
        <f t="shared" si="12"/>
        <v> Albright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Drolet</v>
      </c>
      <c r="D55" s="178"/>
      <c r="E55" s="181"/>
      <c r="K55" s="135">
        <f t="shared" si="11"/>
        <v>23</v>
      </c>
      <c r="L55" s="156" t="str">
        <f t="shared" si="12"/>
        <v> Wilder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Benton</v>
      </c>
      <c r="D56" s="178"/>
      <c r="E56" s="181"/>
      <c r="K56" s="129">
        <f t="shared" si="11"/>
        <v>24</v>
      </c>
      <c r="L56" s="156" t="str">
        <f t="shared" si="12"/>
        <v> Albright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Drolet</v>
      </c>
      <c r="D57" s="178"/>
      <c r="E57" s="181"/>
      <c r="K57" s="129">
        <f t="shared" si="11"/>
        <v>24</v>
      </c>
      <c r="L57" s="156" t="str">
        <f t="shared" si="12"/>
        <v> Wilder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Benton</v>
      </c>
      <c r="D58" s="178"/>
      <c r="E58" s="181"/>
      <c r="K58" s="135">
        <f t="shared" si="11"/>
        <v>25</v>
      </c>
      <c r="L58" s="156" t="str">
        <f t="shared" si="12"/>
        <v> Albright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Drolet</v>
      </c>
      <c r="D59" s="178"/>
      <c r="E59" s="181"/>
      <c r="K59" s="129">
        <f t="shared" si="11"/>
        <v>25</v>
      </c>
      <c r="L59" s="156" t="str">
        <f t="shared" si="12"/>
        <v> Wilder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Benton</v>
      </c>
      <c r="D60" s="178"/>
      <c r="E60" s="181"/>
      <c r="K60" s="135">
        <f t="shared" si="11"/>
        <v>26</v>
      </c>
      <c r="L60" s="156" t="str">
        <f t="shared" si="12"/>
        <v> Albright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Drolet</v>
      </c>
      <c r="D61" s="178"/>
      <c r="E61" s="181"/>
      <c r="K61" s="129">
        <f t="shared" si="11"/>
        <v>26</v>
      </c>
      <c r="L61" s="156" t="str">
        <f t="shared" si="12"/>
        <v> Wilder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Benton</v>
      </c>
      <c r="D62" s="178"/>
      <c r="E62" s="181"/>
      <c r="K62" s="135">
        <f t="shared" si="11"/>
        <v>27</v>
      </c>
      <c r="L62" s="156" t="str">
        <f t="shared" si="12"/>
        <v> Albright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Drolet</v>
      </c>
      <c r="D63" s="178"/>
      <c r="E63" s="181"/>
      <c r="K63" s="129">
        <f t="shared" si="11"/>
        <v>27</v>
      </c>
      <c r="L63" s="156" t="str">
        <f t="shared" si="12"/>
        <v> Wilder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Benton</v>
      </c>
      <c r="D64" s="178"/>
      <c r="E64" s="181"/>
      <c r="K64" s="135">
        <f t="shared" si="11"/>
        <v>28</v>
      </c>
      <c r="L64" s="156" t="str">
        <f t="shared" si="12"/>
        <v> Albright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Drolet</v>
      </c>
      <c r="D65" s="178"/>
      <c r="E65" s="181"/>
      <c r="K65" s="129">
        <f t="shared" si="11"/>
        <v>28</v>
      </c>
      <c r="L65" s="156" t="str">
        <f t="shared" si="12"/>
        <v> Wilder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Benton</v>
      </c>
      <c r="D66" s="178"/>
      <c r="E66" s="181"/>
      <c r="K66" s="135">
        <f t="shared" si="11"/>
        <v>29</v>
      </c>
      <c r="L66" s="156" t="str">
        <f t="shared" si="12"/>
        <v> Albright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Drolet</v>
      </c>
      <c r="D67" s="178"/>
      <c r="E67" s="181"/>
      <c r="K67" s="135">
        <f t="shared" si="11"/>
        <v>29</v>
      </c>
      <c r="L67" s="156" t="str">
        <f t="shared" si="12"/>
        <v> Wilder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Benton</v>
      </c>
      <c r="D68" s="178"/>
      <c r="E68" s="181"/>
      <c r="K68" s="135">
        <f t="shared" si="11"/>
        <v>30</v>
      </c>
      <c r="L68" s="156" t="str">
        <f t="shared" si="12"/>
        <v> Albright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Drolet</v>
      </c>
      <c r="D69" s="178"/>
      <c r="E69" s="181"/>
      <c r="K69" s="135">
        <f t="shared" si="11"/>
        <v>30</v>
      </c>
      <c r="L69" s="156" t="str">
        <f t="shared" si="12"/>
        <v> Wilder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Benton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Albright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Drolet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Wilder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Benton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Albright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Drolet</v>
      </c>
      <c r="D73" s="178"/>
      <c r="E73" s="181"/>
      <c r="K73" s="129">
        <v>32.0</v>
      </c>
      <c r="L73" s="156" t="str">
        <f t="shared" si="12"/>
        <v> Wilder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Benton</v>
      </c>
      <c r="D74" s="192"/>
      <c r="E74" s="181"/>
      <c r="K74" s="129">
        <v>33.0</v>
      </c>
      <c r="L74" s="156" t="str">
        <f t="shared" si="12"/>
        <v> Albright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Drolet</v>
      </c>
      <c r="D75" s="178"/>
      <c r="E75" s="181"/>
      <c r="K75" s="129">
        <v>33.0</v>
      </c>
      <c r="L75" s="156" t="str">
        <f t="shared" si="12"/>
        <v> Wilder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Benton</v>
      </c>
      <c r="D76" s="178"/>
      <c r="E76" s="181"/>
      <c r="K76" s="129">
        <v>34.0</v>
      </c>
      <c r="L76" s="156" t="str">
        <f t="shared" si="12"/>
        <v> Albright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Drolet</v>
      </c>
      <c r="D77" s="178"/>
      <c r="E77" s="181"/>
      <c r="K77" s="129">
        <v>34.0</v>
      </c>
      <c r="L77" s="156" t="str">
        <f t="shared" si="12"/>
        <v> Wilder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Benton</v>
      </c>
      <c r="D78" s="178"/>
      <c r="E78" s="181"/>
      <c r="K78" s="129">
        <v>35.0</v>
      </c>
      <c r="L78" s="156" t="str">
        <f t="shared" si="12"/>
        <v> Albright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Drolet</v>
      </c>
      <c r="D79" s="178"/>
      <c r="E79" s="181"/>
      <c r="K79" s="129">
        <v>35.0</v>
      </c>
      <c r="L79" s="156" t="str">
        <f t="shared" si="12"/>
        <v> Wilder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Benton</v>
      </c>
      <c r="D80" s="178"/>
      <c r="E80" s="181"/>
      <c r="K80" s="129">
        <v>36.0</v>
      </c>
      <c r="L80" s="156" t="str">
        <f t="shared" si="12"/>
        <v> Albright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Drolet</v>
      </c>
      <c r="D81" s="178"/>
      <c r="E81" s="181"/>
      <c r="K81" s="129">
        <v>36.0</v>
      </c>
      <c r="L81" s="156" t="str">
        <f t="shared" si="12"/>
        <v> Wilder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Benton</v>
      </c>
      <c r="D82" s="178"/>
      <c r="E82" s="181"/>
      <c r="K82" s="129">
        <v>37.0</v>
      </c>
      <c r="L82" s="156" t="str">
        <f t="shared" si="12"/>
        <v> Albright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Drolet</v>
      </c>
      <c r="D83" s="178"/>
      <c r="E83" s="181"/>
      <c r="K83" s="129">
        <v>37.0</v>
      </c>
      <c r="L83" s="156" t="str">
        <f t="shared" si="12"/>
        <v> Wilder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Benton</v>
      </c>
      <c r="D84" s="178"/>
      <c r="E84" s="181"/>
      <c r="K84" s="129">
        <v>38.0</v>
      </c>
      <c r="L84" s="156" t="str">
        <f t="shared" si="12"/>
        <v> Albright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Drolet</v>
      </c>
      <c r="D85" s="178"/>
      <c r="E85" s="181"/>
      <c r="K85" s="129">
        <v>38.0</v>
      </c>
      <c r="L85" s="156" t="str">
        <f t="shared" si="12"/>
        <v> Wilder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Benton</v>
      </c>
      <c r="D86" s="178"/>
      <c r="E86" s="181"/>
      <c r="K86" s="129">
        <v>39.0</v>
      </c>
      <c r="L86" s="156" t="str">
        <f t="shared" si="12"/>
        <v> Albright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Drolet</v>
      </c>
      <c r="D87" s="178"/>
      <c r="E87" s="181"/>
      <c r="K87" s="129">
        <v>39.0</v>
      </c>
      <c r="L87" s="156" t="str">
        <f t="shared" si="12"/>
        <v> Wilder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Benton</v>
      </c>
      <c r="D88" s="178"/>
      <c r="E88" s="181"/>
      <c r="K88" s="129">
        <v>40.0</v>
      </c>
      <c r="L88" s="156" t="str">
        <f t="shared" si="12"/>
        <v> Albright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Drolet</v>
      </c>
      <c r="D89" s="178"/>
      <c r="E89" s="181"/>
      <c r="K89" s="129">
        <v>40.0</v>
      </c>
      <c r="L89" s="156" t="str">
        <f t="shared" si="12"/>
        <v> Wilder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106</v>
      </c>
      <c r="D3" s="189">
        <f t="shared" ref="D3:J3" si="1">SUMPRODUCT(D10:D90,MOD(ROW(D10:D90),2)=0)</f>
        <v>17</v>
      </c>
      <c r="E3" s="189">
        <f t="shared" si="1"/>
        <v>5</v>
      </c>
      <c r="F3" s="189">
        <f t="shared" si="1"/>
        <v>2</v>
      </c>
      <c r="G3" s="189">
        <f t="shared" si="1"/>
        <v>2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104</v>
      </c>
      <c r="M3" s="189">
        <f t="shared" ref="M3:S3" si="2">SUMPRODUCT(M10:M90,MOD(ROW(M10:M90),2)=0)</f>
        <v>15</v>
      </c>
      <c r="N3" s="189">
        <f t="shared" si="2"/>
        <v>5</v>
      </c>
      <c r="O3" s="189">
        <f t="shared" si="2"/>
        <v>1</v>
      </c>
      <c r="P3" s="189">
        <f t="shared" si="2"/>
        <v>4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90</v>
      </c>
      <c r="D4" s="191">
        <f t="shared" ref="D4:J4" si="3">SUMPRODUCT(D10:D90,MOD(ROW(D10:D90),2))</f>
        <v>16</v>
      </c>
      <c r="E4" s="191">
        <f t="shared" si="3"/>
        <v>5</v>
      </c>
      <c r="F4" s="191">
        <f t="shared" si="3"/>
        <v>1</v>
      </c>
      <c r="G4" s="191">
        <f t="shared" si="3"/>
        <v>1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105</v>
      </c>
      <c r="M4" s="191">
        <f t="shared" ref="M4:S4" si="4">SUMPRODUCT(M10:M90,MOD(ROW(M10:M90),2))</f>
        <v>16</v>
      </c>
      <c r="N4" s="191">
        <f t="shared" si="4"/>
        <v>4</v>
      </c>
      <c r="O4" s="191">
        <f t="shared" si="4"/>
        <v>1</v>
      </c>
      <c r="P4" s="191">
        <f t="shared" si="4"/>
        <v>0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Gandarias %</v>
      </c>
      <c r="D5" s="137">
        <f t="shared" ref="D5:D6" si="6">IFERROR((E3/(E3+D3)),0)</f>
        <v>0.2272727273</v>
      </c>
      <c r="K5" s="135"/>
      <c r="L5" s="136" t="str">
        <f t="shared" ref="L5:L6" si="7">IFERROR((L10 &amp;" %"), "")</f>
        <v> Bartlett %</v>
      </c>
      <c r="M5" s="137">
        <f t="shared" ref="M5:M6" si="8">IFERROR((N3/(N3+M3)),0)</f>
        <v>0.25</v>
      </c>
      <c r="S5" s="132"/>
      <c r="T5" s="132"/>
      <c r="U5" s="7"/>
    </row>
    <row r="6">
      <c r="A6" s="14"/>
      <c r="B6" s="138"/>
      <c r="C6" s="139" t="str">
        <f t="shared" si="5"/>
        <v> Cartwright %</v>
      </c>
      <c r="D6" s="140">
        <f t="shared" si="6"/>
        <v>0.2380952381</v>
      </c>
      <c r="E6" s="141"/>
      <c r="F6" s="141"/>
      <c r="G6" s="141"/>
      <c r="H6" s="141"/>
      <c r="I6" s="141"/>
      <c r="J6" s="141"/>
      <c r="K6" s="138"/>
      <c r="L6" s="139" t="str">
        <f t="shared" si="7"/>
        <v> Mishra %</v>
      </c>
      <c r="M6" s="142">
        <f t="shared" si="8"/>
        <v>0.2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Gandarias")</f>
        <v> Gandarias</v>
      </c>
      <c r="D10" s="197"/>
      <c r="E10" s="198">
        <v>1.0</v>
      </c>
      <c r="F10" s="199"/>
      <c r="G10" s="199"/>
      <c r="H10" s="177"/>
      <c r="I10" s="177"/>
      <c r="K10" s="129">
        <v>1.0</v>
      </c>
      <c r="L10" s="136" t="str">
        <f>IFERROR(__xludf.DUMMYFUNCTION("REGEXEXTRACT(L3, ""( .*)+"")")," Bartlett")</f>
        <v> Bartlett</v>
      </c>
      <c r="M10" s="200">
        <v>1.0</v>
      </c>
      <c r="N10" s="201"/>
      <c r="O10" s="177"/>
      <c r="P10" s="199"/>
      <c r="Q10" s="177"/>
      <c r="R10" s="177"/>
      <c r="T10" s="132"/>
      <c r="U10" s="7"/>
    </row>
    <row r="11">
      <c r="A11" s="8"/>
      <c r="B11" s="129">
        <v>1.0</v>
      </c>
      <c r="C11" s="136" t="str">
        <f>IFERROR(__xludf.DUMMYFUNCTION("REGEXEXTRACT(C4, ""( .*)+"")")," Cartwright")</f>
        <v> Cartwright</v>
      </c>
      <c r="D11" s="208"/>
      <c r="E11" s="207">
        <v>1.0</v>
      </c>
      <c r="F11" s="177"/>
      <c r="G11" s="177"/>
      <c r="H11" s="177"/>
      <c r="I11" s="177"/>
      <c r="K11" s="129">
        <v>1.0</v>
      </c>
      <c r="L11" s="136" t="str">
        <f>IFERROR(__xludf.DUMMYFUNCTION("REGEXEXTRACT(L4, ""( .*)+"")")," Mishra")</f>
        <v> Mishra</v>
      </c>
      <c r="M11" s="202">
        <v>1.0</v>
      </c>
      <c r="N11" s="203"/>
      <c r="O11" s="177"/>
      <c r="P11" s="177"/>
      <c r="Q11" s="177"/>
      <c r="R11" s="177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Gandarias</v>
      </c>
      <c r="D12" s="202">
        <v>1.0</v>
      </c>
      <c r="E12" s="203"/>
      <c r="F12" s="177"/>
      <c r="G12" s="177"/>
      <c r="H12" s="177"/>
      <c r="I12" s="177"/>
      <c r="K12" s="129">
        <f t="shared" ref="K12:K69" si="11">K10+1</f>
        <v>2</v>
      </c>
      <c r="L12" s="156" t="str">
        <f t="shared" ref="L12:L89" si="12">L10</f>
        <v> Bartlett</v>
      </c>
      <c r="M12" s="200">
        <v>1.0</v>
      </c>
      <c r="N12" s="201"/>
      <c r="O12" s="177"/>
      <c r="P12" s="177"/>
      <c r="Q12" s="177"/>
      <c r="R12" s="177"/>
      <c r="T12" s="132"/>
      <c r="U12" s="7"/>
    </row>
    <row r="13">
      <c r="A13" s="14"/>
      <c r="B13" s="135">
        <f t="shared" si="9"/>
        <v>2</v>
      </c>
      <c r="C13" s="156" t="str">
        <f t="shared" si="10"/>
        <v> Cartwright</v>
      </c>
      <c r="D13" s="200">
        <v>1.0</v>
      </c>
      <c r="E13" s="201"/>
      <c r="F13" s="177"/>
      <c r="G13" s="191"/>
      <c r="H13" s="177"/>
      <c r="I13" s="177"/>
      <c r="K13" s="135">
        <f t="shared" si="11"/>
        <v>2</v>
      </c>
      <c r="L13" s="156" t="str">
        <f t="shared" si="12"/>
        <v> Mishra</v>
      </c>
      <c r="M13" s="208"/>
      <c r="N13" s="207">
        <v>1.0</v>
      </c>
      <c r="O13" s="177"/>
      <c r="P13" s="177"/>
      <c r="Q13" s="177"/>
      <c r="R13" s="177"/>
      <c r="T13" s="132"/>
      <c r="U13" s="7"/>
    </row>
    <row r="14">
      <c r="A14" s="8"/>
      <c r="B14" s="129">
        <f t="shared" si="9"/>
        <v>3</v>
      </c>
      <c r="C14" s="156" t="str">
        <f t="shared" si="10"/>
        <v> Gandarias</v>
      </c>
      <c r="D14" s="202">
        <v>1.0</v>
      </c>
      <c r="E14" s="203"/>
      <c r="F14" s="177"/>
      <c r="G14" s="177"/>
      <c r="H14" s="177"/>
      <c r="I14" s="177"/>
      <c r="K14" s="129">
        <f t="shared" si="11"/>
        <v>3</v>
      </c>
      <c r="L14" s="156" t="str">
        <f t="shared" si="12"/>
        <v> Bartlett</v>
      </c>
      <c r="M14" s="202">
        <v>1.0</v>
      </c>
      <c r="N14" s="188"/>
      <c r="O14" s="127">
        <v>1.0</v>
      </c>
      <c r="P14" s="177"/>
      <c r="Q14" s="177"/>
      <c r="R14" s="177"/>
      <c r="T14" s="132"/>
      <c r="U14" s="7"/>
    </row>
    <row r="15">
      <c r="A15" s="14"/>
      <c r="B15" s="135">
        <f t="shared" si="9"/>
        <v>3</v>
      </c>
      <c r="C15" s="156" t="str">
        <f t="shared" si="10"/>
        <v> Cartwright</v>
      </c>
      <c r="D15" s="197"/>
      <c r="E15" s="198">
        <v>1.0</v>
      </c>
      <c r="F15" s="177"/>
      <c r="G15" s="177"/>
      <c r="H15" s="177"/>
      <c r="I15" s="177"/>
      <c r="K15" s="135">
        <f t="shared" si="11"/>
        <v>3</v>
      </c>
      <c r="L15" s="156" t="str">
        <f t="shared" si="12"/>
        <v> Mishra</v>
      </c>
      <c r="M15" s="200">
        <v>1.0</v>
      </c>
      <c r="N15" s="205"/>
      <c r="O15" s="177"/>
      <c r="P15" s="177"/>
      <c r="Q15" s="177"/>
      <c r="R15" s="177"/>
      <c r="T15" s="132"/>
      <c r="U15" s="7"/>
    </row>
    <row r="16">
      <c r="A16" s="8"/>
      <c r="B16" s="129">
        <f t="shared" si="9"/>
        <v>4</v>
      </c>
      <c r="C16" s="156" t="str">
        <f t="shared" si="10"/>
        <v> Gandarias</v>
      </c>
      <c r="D16" s="197"/>
      <c r="E16" s="198">
        <v>1.0</v>
      </c>
      <c r="F16" s="177"/>
      <c r="G16" s="177"/>
      <c r="H16" s="177"/>
      <c r="I16" s="177"/>
      <c r="K16" s="129">
        <f t="shared" si="11"/>
        <v>4</v>
      </c>
      <c r="L16" s="156" t="str">
        <f t="shared" si="12"/>
        <v> Bartlett</v>
      </c>
      <c r="M16" s="200">
        <v>1.0</v>
      </c>
      <c r="N16" s="205"/>
      <c r="O16" s="177"/>
      <c r="P16" s="127">
        <v>1.0</v>
      </c>
      <c r="Q16" s="177"/>
      <c r="R16" s="177"/>
      <c r="T16" s="132"/>
      <c r="U16" s="7"/>
    </row>
    <row r="17">
      <c r="A17" s="14"/>
      <c r="B17" s="135">
        <f t="shared" si="9"/>
        <v>4</v>
      </c>
      <c r="C17" s="156" t="str">
        <f t="shared" si="10"/>
        <v> Cartwright</v>
      </c>
      <c r="D17" s="197"/>
      <c r="E17" s="198">
        <v>1.0</v>
      </c>
      <c r="F17" s="177"/>
      <c r="G17" s="177"/>
      <c r="H17" s="177"/>
      <c r="I17" s="177"/>
      <c r="K17" s="135">
        <f t="shared" si="11"/>
        <v>4</v>
      </c>
      <c r="L17" s="156" t="str">
        <f t="shared" si="12"/>
        <v> Mishra</v>
      </c>
      <c r="M17" s="206"/>
      <c r="N17" s="207">
        <v>1.0</v>
      </c>
      <c r="O17" s="177"/>
      <c r="P17" s="177"/>
      <c r="Q17" s="177"/>
      <c r="R17" s="177"/>
      <c r="T17" s="132"/>
      <c r="U17" s="7"/>
    </row>
    <row r="18">
      <c r="A18" s="8"/>
      <c r="B18" s="129">
        <f t="shared" si="9"/>
        <v>5</v>
      </c>
      <c r="C18" s="156" t="str">
        <f t="shared" si="10"/>
        <v> Gandarias</v>
      </c>
      <c r="D18" s="200">
        <v>1.0</v>
      </c>
      <c r="E18" s="201"/>
      <c r="F18" s="177"/>
      <c r="G18" s="191"/>
      <c r="H18" s="177"/>
      <c r="I18" s="177"/>
      <c r="K18" s="129">
        <f t="shared" si="11"/>
        <v>5</v>
      </c>
      <c r="L18" s="156" t="str">
        <f t="shared" si="12"/>
        <v> Bartlett</v>
      </c>
      <c r="M18" s="200">
        <v>1.0</v>
      </c>
      <c r="N18" s="205"/>
      <c r="O18" s="177"/>
      <c r="P18" s="177"/>
      <c r="Q18" s="177"/>
      <c r="R18" s="177"/>
      <c r="T18" s="132"/>
      <c r="U18" s="7"/>
    </row>
    <row r="19">
      <c r="A19" s="14"/>
      <c r="B19" s="135">
        <f t="shared" si="9"/>
        <v>5</v>
      </c>
      <c r="C19" s="156" t="str">
        <f t="shared" si="10"/>
        <v> Cartwright</v>
      </c>
      <c r="D19" s="200">
        <v>1.0</v>
      </c>
      <c r="E19" s="205"/>
      <c r="F19" s="177"/>
      <c r="G19" s="177"/>
      <c r="H19" s="177"/>
      <c r="I19" s="177"/>
      <c r="K19" s="135">
        <f t="shared" si="11"/>
        <v>5</v>
      </c>
      <c r="L19" s="156" t="str">
        <f t="shared" si="12"/>
        <v> Mishra</v>
      </c>
      <c r="M19" s="202">
        <v>1.0</v>
      </c>
      <c r="N19" s="203"/>
      <c r="O19" s="177"/>
      <c r="P19" s="177"/>
      <c r="Q19" s="177"/>
      <c r="R19" s="177"/>
      <c r="T19" s="132"/>
      <c r="U19" s="7"/>
    </row>
    <row r="20">
      <c r="A20" s="8"/>
      <c r="B20" s="129">
        <f t="shared" si="9"/>
        <v>6</v>
      </c>
      <c r="C20" s="156" t="str">
        <f t="shared" si="10"/>
        <v> Gandarias</v>
      </c>
      <c r="D20" s="187"/>
      <c r="E20" s="198">
        <v>1.0</v>
      </c>
      <c r="F20" s="177"/>
      <c r="G20" s="177"/>
      <c r="H20" s="177"/>
      <c r="I20" s="177"/>
      <c r="K20" s="129">
        <f t="shared" si="11"/>
        <v>6</v>
      </c>
      <c r="L20" s="156" t="str">
        <f t="shared" si="12"/>
        <v> Bartlett</v>
      </c>
      <c r="M20" s="200">
        <v>1.0</v>
      </c>
      <c r="N20" s="205"/>
      <c r="O20" s="177"/>
      <c r="P20" s="177"/>
      <c r="Q20" s="177"/>
      <c r="R20" s="177"/>
      <c r="T20" s="132"/>
      <c r="U20" s="7"/>
    </row>
    <row r="21">
      <c r="A21" s="14"/>
      <c r="B21" s="135">
        <f t="shared" si="9"/>
        <v>6</v>
      </c>
      <c r="C21" s="156" t="str">
        <f t="shared" si="10"/>
        <v> Cartwright</v>
      </c>
      <c r="D21" s="200">
        <v>1.0</v>
      </c>
      <c r="E21" s="205"/>
      <c r="F21" s="177"/>
      <c r="G21" s="177"/>
      <c r="H21" s="177"/>
      <c r="I21" s="177"/>
      <c r="K21" s="135">
        <f t="shared" si="11"/>
        <v>6</v>
      </c>
      <c r="L21" s="156" t="str">
        <f t="shared" si="12"/>
        <v> Mishra</v>
      </c>
      <c r="M21" s="200">
        <v>1.0</v>
      </c>
      <c r="N21" s="205"/>
      <c r="O21" s="177"/>
      <c r="P21" s="177"/>
      <c r="Q21" s="177"/>
      <c r="R21" s="177"/>
      <c r="T21" s="132"/>
      <c r="U21" s="7"/>
    </row>
    <row r="22">
      <c r="A22" s="8"/>
      <c r="B22" s="129">
        <f t="shared" si="9"/>
        <v>7</v>
      </c>
      <c r="C22" s="156" t="str">
        <f t="shared" si="10"/>
        <v> Gandarias</v>
      </c>
      <c r="D22" s="202">
        <v>1.0</v>
      </c>
      <c r="E22" s="188"/>
      <c r="F22" s="177"/>
      <c r="G22" s="177"/>
      <c r="H22" s="177"/>
      <c r="I22" s="177"/>
      <c r="K22" s="129">
        <f t="shared" si="11"/>
        <v>7</v>
      </c>
      <c r="L22" s="156" t="str">
        <f t="shared" si="12"/>
        <v> Bartlett</v>
      </c>
      <c r="M22" s="200">
        <v>1.0</v>
      </c>
      <c r="N22" s="205"/>
      <c r="O22" s="177"/>
      <c r="P22" s="177"/>
      <c r="Q22" s="177"/>
      <c r="R22" s="177"/>
      <c r="T22" s="132"/>
      <c r="U22" s="7"/>
    </row>
    <row r="23">
      <c r="A23" s="14"/>
      <c r="B23" s="135">
        <f t="shared" si="9"/>
        <v>7</v>
      </c>
      <c r="C23" s="156" t="str">
        <f t="shared" si="10"/>
        <v> Cartwright</v>
      </c>
      <c r="D23" s="200">
        <v>1.0</v>
      </c>
      <c r="E23" s="205"/>
      <c r="F23" s="177"/>
      <c r="G23" s="177"/>
      <c r="H23" s="177"/>
      <c r="I23" s="177"/>
      <c r="K23" s="135">
        <f t="shared" si="11"/>
        <v>7</v>
      </c>
      <c r="L23" s="156" t="str">
        <f t="shared" si="12"/>
        <v> Mishra</v>
      </c>
      <c r="M23" s="200">
        <v>1.0</v>
      </c>
      <c r="N23" s="205"/>
      <c r="O23" s="177"/>
      <c r="P23" s="177"/>
      <c r="Q23" s="177"/>
      <c r="R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 Gandarias</v>
      </c>
      <c r="D24" s="200">
        <v>1.0</v>
      </c>
      <c r="E24" s="205"/>
      <c r="F24" s="177"/>
      <c r="G24" s="177"/>
      <c r="H24" s="177"/>
      <c r="I24" s="177"/>
      <c r="K24" s="129">
        <f t="shared" si="11"/>
        <v>8</v>
      </c>
      <c r="L24" s="156" t="str">
        <f t="shared" si="12"/>
        <v> Bartlett</v>
      </c>
      <c r="M24" s="202">
        <v>1.0</v>
      </c>
      <c r="N24" s="188"/>
      <c r="O24" s="177"/>
      <c r="P24" s="127">
        <v>1.0</v>
      </c>
      <c r="Q24" s="177"/>
      <c r="R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 Cartwright</v>
      </c>
      <c r="D25" s="202">
        <v>1.0</v>
      </c>
      <c r="E25" s="188"/>
      <c r="F25" s="177"/>
      <c r="G25" s="177"/>
      <c r="H25" s="177"/>
      <c r="I25" s="177"/>
      <c r="K25" s="135">
        <f t="shared" si="11"/>
        <v>8</v>
      </c>
      <c r="L25" s="156" t="str">
        <f t="shared" si="12"/>
        <v> Mishra</v>
      </c>
      <c r="M25" s="206"/>
      <c r="N25" s="207">
        <v>1.0</v>
      </c>
      <c r="O25" s="177"/>
      <c r="P25" s="177"/>
      <c r="Q25" s="177"/>
      <c r="R25" s="177"/>
      <c r="T25" s="132"/>
      <c r="U25" s="7"/>
    </row>
    <row r="26">
      <c r="A26" s="8"/>
      <c r="B26" s="129">
        <f t="shared" si="9"/>
        <v>9</v>
      </c>
      <c r="C26" s="156" t="str">
        <f t="shared" si="10"/>
        <v> Gandarias</v>
      </c>
      <c r="D26" s="202">
        <v>1.0</v>
      </c>
      <c r="E26" s="188"/>
      <c r="F26" s="177"/>
      <c r="G26" s="177"/>
      <c r="H26" s="177"/>
      <c r="I26" s="177"/>
      <c r="K26" s="129">
        <f t="shared" si="11"/>
        <v>9</v>
      </c>
      <c r="L26" s="156" t="str">
        <f t="shared" si="12"/>
        <v> Bartlett</v>
      </c>
      <c r="M26" s="197"/>
      <c r="N26" s="198">
        <v>1.0</v>
      </c>
      <c r="O26" s="177"/>
      <c r="P26" s="177"/>
      <c r="Q26" s="177"/>
      <c r="R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 Cartwright</v>
      </c>
      <c r="D27" s="202">
        <v>1.0</v>
      </c>
      <c r="E27" s="188"/>
      <c r="F27" s="177"/>
      <c r="G27" s="177"/>
      <c r="H27" s="177"/>
      <c r="I27" s="177"/>
      <c r="K27" s="135">
        <f t="shared" si="11"/>
        <v>9</v>
      </c>
      <c r="L27" s="156" t="str">
        <f t="shared" si="12"/>
        <v> Mishra</v>
      </c>
      <c r="M27" s="200">
        <v>1.0</v>
      </c>
      <c r="N27" s="205"/>
      <c r="O27" s="177"/>
      <c r="P27" s="177"/>
      <c r="Q27" s="177"/>
      <c r="R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 Gandarias</v>
      </c>
      <c r="D28" s="200">
        <v>1.0</v>
      </c>
      <c r="E28" s="205"/>
      <c r="F28" s="127">
        <v>1.0</v>
      </c>
      <c r="G28" s="191"/>
      <c r="H28" s="177"/>
      <c r="I28" s="177"/>
      <c r="K28" s="129">
        <f t="shared" si="11"/>
        <v>10</v>
      </c>
      <c r="L28" s="156" t="str">
        <f t="shared" si="12"/>
        <v> Bartlett</v>
      </c>
      <c r="M28" s="197"/>
      <c r="N28" s="198">
        <v>1.0</v>
      </c>
      <c r="O28" s="177"/>
      <c r="P28" s="177"/>
      <c r="Q28" s="177"/>
      <c r="R28" s="177"/>
      <c r="T28" s="132"/>
      <c r="U28" s="7"/>
    </row>
    <row r="29">
      <c r="A29" s="14"/>
      <c r="B29" s="135">
        <f t="shared" si="9"/>
        <v>10</v>
      </c>
      <c r="C29" s="156" t="str">
        <f t="shared" si="10"/>
        <v> Cartwright</v>
      </c>
      <c r="D29" s="200">
        <v>1.0</v>
      </c>
      <c r="E29" s="205"/>
      <c r="F29" s="127">
        <v>1.0</v>
      </c>
      <c r="G29" s="177"/>
      <c r="H29" s="177"/>
      <c r="I29" s="177"/>
      <c r="K29" s="135">
        <f t="shared" si="11"/>
        <v>10</v>
      </c>
      <c r="L29" s="156" t="str">
        <f t="shared" si="12"/>
        <v> Mishra</v>
      </c>
      <c r="M29" s="200">
        <v>1.0</v>
      </c>
      <c r="N29" s="205"/>
      <c r="O29" s="177"/>
      <c r="P29" s="177"/>
      <c r="Q29" s="177"/>
      <c r="R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 Gandarias</v>
      </c>
      <c r="D30" s="200">
        <v>1.0</v>
      </c>
      <c r="E30" s="205"/>
      <c r="F30" s="177"/>
      <c r="G30" s="177"/>
      <c r="H30" s="177"/>
      <c r="I30" s="177"/>
      <c r="K30" s="129">
        <f t="shared" si="11"/>
        <v>11</v>
      </c>
      <c r="L30" s="156" t="str">
        <f t="shared" si="12"/>
        <v> Bartlett</v>
      </c>
      <c r="M30" s="200">
        <v>1.0</v>
      </c>
      <c r="N30" s="205"/>
      <c r="O30" s="177"/>
      <c r="P30" s="177"/>
      <c r="Q30" s="177"/>
      <c r="R30" s="177"/>
      <c r="T30" s="132"/>
      <c r="U30" s="7"/>
    </row>
    <row r="31">
      <c r="A31" s="14"/>
      <c r="B31" s="135">
        <f t="shared" si="9"/>
        <v>11</v>
      </c>
      <c r="C31" s="156" t="str">
        <f t="shared" si="10"/>
        <v> Cartwright</v>
      </c>
      <c r="D31" s="200">
        <v>1.0</v>
      </c>
      <c r="E31" s="205"/>
      <c r="F31" s="177"/>
      <c r="G31" s="177"/>
      <c r="H31" s="177"/>
      <c r="I31" s="177"/>
      <c r="K31" s="135">
        <f t="shared" si="11"/>
        <v>11</v>
      </c>
      <c r="L31" s="156" t="str">
        <f t="shared" si="12"/>
        <v> Mishra</v>
      </c>
      <c r="M31" s="202">
        <v>1.0</v>
      </c>
      <c r="N31" s="203"/>
      <c r="O31" s="177"/>
      <c r="P31" s="177"/>
      <c r="Q31" s="177"/>
      <c r="R31" s="177"/>
      <c r="T31" s="132"/>
      <c r="U31" s="7"/>
    </row>
    <row r="32">
      <c r="A32" s="8"/>
      <c r="B32" s="129">
        <f t="shared" si="9"/>
        <v>12</v>
      </c>
      <c r="C32" s="156" t="str">
        <f t="shared" si="10"/>
        <v> Gandarias</v>
      </c>
      <c r="D32" s="200">
        <v>1.0</v>
      </c>
      <c r="E32" s="205"/>
      <c r="F32" s="177"/>
      <c r="G32" s="127">
        <v>1.0</v>
      </c>
      <c r="H32" s="177"/>
      <c r="I32" s="177"/>
      <c r="K32" s="129">
        <f t="shared" si="11"/>
        <v>12</v>
      </c>
      <c r="L32" s="156" t="str">
        <f t="shared" si="12"/>
        <v> Bartlett</v>
      </c>
      <c r="M32" s="200">
        <v>1.0</v>
      </c>
      <c r="N32" s="205"/>
      <c r="O32" s="177"/>
      <c r="P32" s="177"/>
      <c r="Q32" s="177"/>
      <c r="R32" s="177"/>
      <c r="T32" s="132"/>
      <c r="U32" s="7"/>
    </row>
    <row r="33">
      <c r="A33" s="14"/>
      <c r="B33" s="135">
        <f t="shared" si="9"/>
        <v>12</v>
      </c>
      <c r="C33" s="156" t="str">
        <f t="shared" si="10"/>
        <v> Cartwright</v>
      </c>
      <c r="D33" s="200">
        <v>1.0</v>
      </c>
      <c r="E33" s="205"/>
      <c r="F33" s="177"/>
      <c r="G33" s="177"/>
      <c r="H33" s="177"/>
      <c r="I33" s="177"/>
      <c r="K33" s="135">
        <f t="shared" si="11"/>
        <v>12</v>
      </c>
      <c r="L33" s="156" t="str">
        <f t="shared" si="12"/>
        <v> Mishra</v>
      </c>
      <c r="M33" s="200">
        <v>1.0</v>
      </c>
      <c r="N33" s="201"/>
      <c r="O33" s="177"/>
      <c r="P33" s="177"/>
      <c r="Q33" s="177"/>
      <c r="R33" s="177"/>
      <c r="T33" s="132"/>
      <c r="U33" s="7"/>
    </row>
    <row r="34">
      <c r="A34" s="8"/>
      <c r="B34" s="129">
        <f t="shared" si="9"/>
        <v>13</v>
      </c>
      <c r="C34" s="156" t="str">
        <f t="shared" si="10"/>
        <v> Gandarias</v>
      </c>
      <c r="D34" s="200">
        <v>1.0</v>
      </c>
      <c r="E34" s="205"/>
      <c r="F34" s="177"/>
      <c r="G34" s="177"/>
      <c r="H34" s="177"/>
      <c r="I34" s="177"/>
      <c r="K34" s="129">
        <f t="shared" si="11"/>
        <v>13</v>
      </c>
      <c r="L34" s="156" t="str">
        <f t="shared" si="12"/>
        <v> Bartlett</v>
      </c>
      <c r="M34" s="202">
        <v>1.0</v>
      </c>
      <c r="N34" s="188"/>
      <c r="O34" s="177"/>
      <c r="P34" s="177"/>
      <c r="Q34" s="177"/>
      <c r="R34" s="177"/>
      <c r="T34" s="132"/>
      <c r="U34" s="7"/>
    </row>
    <row r="35">
      <c r="A35" s="14"/>
      <c r="B35" s="135">
        <f t="shared" si="9"/>
        <v>13</v>
      </c>
      <c r="C35" s="156" t="str">
        <f t="shared" si="10"/>
        <v> Cartwright</v>
      </c>
      <c r="D35" s="202">
        <v>1.0</v>
      </c>
      <c r="E35" s="188"/>
      <c r="F35" s="177"/>
      <c r="G35" s="177"/>
      <c r="H35" s="177"/>
      <c r="I35" s="177"/>
      <c r="K35" s="135">
        <f t="shared" si="11"/>
        <v>13</v>
      </c>
      <c r="L35" s="156" t="str">
        <f t="shared" si="12"/>
        <v> Mishra</v>
      </c>
      <c r="M35" s="197"/>
      <c r="N35" s="198">
        <v>1.0</v>
      </c>
      <c r="O35" s="177"/>
      <c r="P35" s="177"/>
      <c r="Q35" s="177"/>
      <c r="R35" s="177"/>
      <c r="T35" s="132"/>
      <c r="U35" s="7"/>
    </row>
    <row r="36">
      <c r="A36" s="8"/>
      <c r="B36" s="129">
        <f t="shared" si="9"/>
        <v>14</v>
      </c>
      <c r="C36" s="156" t="str">
        <f t="shared" si="10"/>
        <v> Gandarias</v>
      </c>
      <c r="D36" s="202">
        <v>1.0</v>
      </c>
      <c r="E36" s="205"/>
      <c r="F36" s="177"/>
      <c r="G36" s="127">
        <v>1.0</v>
      </c>
      <c r="H36" s="177"/>
      <c r="I36" s="177"/>
      <c r="K36" s="129">
        <f t="shared" si="11"/>
        <v>14</v>
      </c>
      <c r="L36" s="156" t="str">
        <f t="shared" si="12"/>
        <v> Bartlett</v>
      </c>
      <c r="M36" s="208"/>
      <c r="N36" s="198">
        <v>1.0</v>
      </c>
      <c r="O36" s="177"/>
      <c r="P36" s="177"/>
      <c r="Q36" s="177"/>
      <c r="R36" s="177"/>
      <c r="T36" s="132"/>
      <c r="U36" s="7"/>
    </row>
    <row r="37">
      <c r="A37" s="14"/>
      <c r="B37" s="135">
        <f t="shared" si="9"/>
        <v>14</v>
      </c>
      <c r="C37" s="156" t="str">
        <f t="shared" si="10"/>
        <v> Cartwright</v>
      </c>
      <c r="D37" s="202">
        <v>1.0</v>
      </c>
      <c r="E37" s="188"/>
      <c r="F37" s="177"/>
      <c r="G37" s="177"/>
      <c r="H37" s="177"/>
      <c r="I37" s="177"/>
      <c r="K37" s="135">
        <f t="shared" si="11"/>
        <v>14</v>
      </c>
      <c r="L37" s="156" t="str">
        <f t="shared" si="12"/>
        <v> Mishra</v>
      </c>
      <c r="M37" s="202">
        <v>1.0</v>
      </c>
      <c r="N37" s="188"/>
      <c r="O37" s="177"/>
      <c r="P37" s="177"/>
      <c r="Q37" s="177"/>
      <c r="R37" s="177"/>
      <c r="T37" s="132"/>
      <c r="U37" s="7"/>
    </row>
    <row r="38">
      <c r="A38" s="8"/>
      <c r="B38" s="129">
        <f t="shared" si="9"/>
        <v>15</v>
      </c>
      <c r="C38" s="156" t="str">
        <f t="shared" si="10"/>
        <v> Gandarias</v>
      </c>
      <c r="D38" s="202">
        <v>1.0</v>
      </c>
      <c r="E38" s="205"/>
      <c r="F38" s="177"/>
      <c r="G38" s="177"/>
      <c r="H38" s="177"/>
      <c r="I38" s="177"/>
      <c r="K38" s="129">
        <f t="shared" si="11"/>
        <v>15</v>
      </c>
      <c r="L38" s="156" t="str">
        <f t="shared" si="12"/>
        <v> Bartlett</v>
      </c>
      <c r="M38" s="208"/>
      <c r="N38" s="198">
        <v>1.0</v>
      </c>
      <c r="O38" s="177"/>
      <c r="P38" s="177"/>
      <c r="Q38" s="177"/>
      <c r="R38" s="177"/>
      <c r="T38" s="132"/>
      <c r="U38" s="7"/>
    </row>
    <row r="39">
      <c r="A39" s="14"/>
      <c r="B39" s="135">
        <f t="shared" si="9"/>
        <v>15</v>
      </c>
      <c r="C39" s="156" t="str">
        <f t="shared" si="10"/>
        <v> Cartwright</v>
      </c>
      <c r="D39" s="200">
        <v>1.0</v>
      </c>
      <c r="E39" s="205"/>
      <c r="F39" s="177"/>
      <c r="G39" s="177"/>
      <c r="H39" s="177"/>
      <c r="I39" s="177"/>
      <c r="K39" s="135">
        <f t="shared" si="11"/>
        <v>15</v>
      </c>
      <c r="L39" s="156" t="str">
        <f t="shared" si="12"/>
        <v> Mishra</v>
      </c>
      <c r="M39" s="202">
        <v>1.0</v>
      </c>
      <c r="N39" s="205"/>
      <c r="O39" s="177"/>
      <c r="P39" s="177"/>
      <c r="Q39" s="177"/>
      <c r="R39" s="177"/>
      <c r="T39" s="132"/>
      <c r="U39" s="7"/>
    </row>
    <row r="40">
      <c r="A40" s="8"/>
      <c r="B40" s="129">
        <f t="shared" si="9"/>
        <v>16</v>
      </c>
      <c r="C40" s="156" t="str">
        <f t="shared" si="10"/>
        <v> Gandarias</v>
      </c>
      <c r="D40" s="180">
        <v>1.0</v>
      </c>
      <c r="E40" s="179"/>
      <c r="F40" s="127">
        <v>1.0</v>
      </c>
      <c r="G40" s="177"/>
      <c r="H40" s="177"/>
      <c r="I40" s="177"/>
      <c r="K40" s="129">
        <f t="shared" si="11"/>
        <v>16</v>
      </c>
      <c r="L40" s="156" t="str">
        <f t="shared" si="12"/>
        <v> Bartlett</v>
      </c>
      <c r="M40" s="202">
        <v>1.0</v>
      </c>
      <c r="N40" s="205"/>
      <c r="O40" s="177"/>
      <c r="P40" s="177"/>
      <c r="Q40" s="177"/>
      <c r="R40" s="177"/>
      <c r="T40" s="132"/>
      <c r="U40" s="7"/>
    </row>
    <row r="41">
      <c r="A41" s="14"/>
      <c r="B41" s="135">
        <f t="shared" si="9"/>
        <v>16</v>
      </c>
      <c r="C41" s="156" t="str">
        <f t="shared" si="10"/>
        <v> Cartwright</v>
      </c>
      <c r="D41" s="180">
        <v>1.0</v>
      </c>
      <c r="E41" s="181"/>
      <c r="F41" s="177"/>
      <c r="G41" s="177"/>
      <c r="H41" s="177"/>
      <c r="I41" s="177"/>
      <c r="K41" s="135">
        <f t="shared" si="11"/>
        <v>16</v>
      </c>
      <c r="L41" s="156" t="str">
        <f t="shared" si="12"/>
        <v> Mishra</v>
      </c>
      <c r="M41" s="202">
        <v>1.0</v>
      </c>
      <c r="N41" s="201"/>
      <c r="O41" s="177"/>
      <c r="P41" s="177"/>
      <c r="Q41" s="177"/>
      <c r="R41" s="177"/>
      <c r="T41" s="132"/>
      <c r="U41" s="7"/>
    </row>
    <row r="42">
      <c r="A42" s="8"/>
      <c r="B42" s="129">
        <f t="shared" si="9"/>
        <v>17</v>
      </c>
      <c r="C42" s="156" t="str">
        <f t="shared" si="10"/>
        <v> Gandarias</v>
      </c>
      <c r="D42" s="180">
        <v>1.0</v>
      </c>
      <c r="E42" s="181"/>
      <c r="F42" s="177"/>
      <c r="G42" s="177"/>
      <c r="H42" s="177"/>
      <c r="I42" s="177"/>
      <c r="K42" s="129">
        <f t="shared" si="11"/>
        <v>17</v>
      </c>
      <c r="L42" s="156" t="str">
        <f t="shared" si="12"/>
        <v> Bartlett</v>
      </c>
      <c r="M42" s="202">
        <v>1.0</v>
      </c>
      <c r="N42" s="205"/>
      <c r="O42" s="177"/>
      <c r="P42" s="177"/>
      <c r="Q42" s="177"/>
      <c r="R42" s="177"/>
      <c r="T42" s="132"/>
      <c r="U42" s="7"/>
    </row>
    <row r="43">
      <c r="A43" s="14"/>
      <c r="B43" s="135">
        <f t="shared" si="9"/>
        <v>17</v>
      </c>
      <c r="C43" s="156" t="str">
        <f t="shared" si="10"/>
        <v> Cartwright</v>
      </c>
      <c r="D43" s="180">
        <v>1.0</v>
      </c>
      <c r="E43" s="179"/>
      <c r="F43" s="177"/>
      <c r="G43" s="127">
        <v>1.0</v>
      </c>
      <c r="H43" s="177"/>
      <c r="I43" s="177"/>
      <c r="K43" s="135">
        <f t="shared" si="11"/>
        <v>17</v>
      </c>
      <c r="L43" s="156" t="str">
        <f t="shared" si="12"/>
        <v> Mishra</v>
      </c>
      <c r="M43" s="180">
        <v>1.0</v>
      </c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Gandarias</v>
      </c>
      <c r="D44" s="180">
        <v>1.0</v>
      </c>
      <c r="E44" s="181"/>
      <c r="F44" s="177"/>
      <c r="G44" s="177"/>
      <c r="H44" s="177"/>
      <c r="I44" s="177"/>
      <c r="K44" s="129">
        <f t="shared" si="11"/>
        <v>18</v>
      </c>
      <c r="L44" s="156" t="str">
        <f t="shared" si="12"/>
        <v> Bartlett</v>
      </c>
      <c r="M44" s="180">
        <v>1.0</v>
      </c>
      <c r="N44" s="181"/>
      <c r="P44" s="136">
        <v>1.0</v>
      </c>
      <c r="T44" s="132"/>
      <c r="U44" s="7"/>
    </row>
    <row r="45">
      <c r="A45" s="8"/>
      <c r="B45" s="129">
        <f t="shared" si="9"/>
        <v>18</v>
      </c>
      <c r="C45" s="156" t="str">
        <f t="shared" si="10"/>
        <v> Cartwright</v>
      </c>
      <c r="D45" s="180">
        <v>1.0</v>
      </c>
      <c r="E45" s="181"/>
      <c r="F45" s="177"/>
      <c r="G45" s="177"/>
      <c r="H45" s="177"/>
      <c r="I45" s="177"/>
      <c r="K45" s="129">
        <f t="shared" si="11"/>
        <v>18</v>
      </c>
      <c r="L45" s="156" t="str">
        <f t="shared" si="12"/>
        <v> Mishra</v>
      </c>
      <c r="M45" s="180">
        <v>1.0</v>
      </c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Gandarias</v>
      </c>
      <c r="D46" s="180"/>
      <c r="E46" s="179">
        <v>1.0</v>
      </c>
      <c r="F46" s="177"/>
      <c r="G46" s="177"/>
      <c r="H46" s="177"/>
      <c r="I46" s="177"/>
      <c r="K46" s="135">
        <f t="shared" si="11"/>
        <v>19</v>
      </c>
      <c r="L46" s="156" t="str">
        <f t="shared" si="12"/>
        <v> Bartlett</v>
      </c>
      <c r="M46" s="180"/>
      <c r="N46" s="179">
        <v>1.0</v>
      </c>
      <c r="T46" s="132"/>
      <c r="U46" s="7"/>
    </row>
    <row r="47">
      <c r="A47" s="8"/>
      <c r="B47" s="129">
        <f t="shared" si="9"/>
        <v>19</v>
      </c>
      <c r="C47" s="156" t="str">
        <f t="shared" si="10"/>
        <v> Cartwright</v>
      </c>
      <c r="D47" s="180">
        <v>1.0</v>
      </c>
      <c r="E47" s="181"/>
      <c r="F47" s="177"/>
      <c r="G47" s="177"/>
      <c r="H47" s="177"/>
      <c r="I47" s="177"/>
      <c r="K47" s="129">
        <f t="shared" si="11"/>
        <v>19</v>
      </c>
      <c r="L47" s="156" t="str">
        <f t="shared" si="12"/>
        <v> Mishra</v>
      </c>
      <c r="M47" s="180">
        <v>1.0</v>
      </c>
      <c r="N47" s="181"/>
      <c r="O47" s="136">
        <v>1.0</v>
      </c>
      <c r="T47" s="132"/>
      <c r="U47" s="7"/>
    </row>
    <row r="48">
      <c r="A48" s="14"/>
      <c r="B48" s="135">
        <f t="shared" si="9"/>
        <v>20</v>
      </c>
      <c r="C48" s="156" t="str">
        <f t="shared" si="10"/>
        <v> Gandarias</v>
      </c>
      <c r="D48" s="180">
        <v>1.0</v>
      </c>
      <c r="E48" s="181"/>
      <c r="F48" s="177"/>
      <c r="G48" s="177"/>
      <c r="H48" s="177"/>
      <c r="I48" s="177"/>
      <c r="K48" s="135">
        <f t="shared" si="11"/>
        <v>20</v>
      </c>
      <c r="L48" s="156" t="str">
        <f t="shared" si="12"/>
        <v> Bartlett</v>
      </c>
      <c r="M48" s="180">
        <v>1.0</v>
      </c>
      <c r="N48" s="179"/>
      <c r="P48" s="136">
        <v>1.0</v>
      </c>
      <c r="T48" s="132"/>
      <c r="U48" s="7"/>
    </row>
    <row r="49">
      <c r="A49" s="8"/>
      <c r="B49" s="129">
        <f t="shared" si="9"/>
        <v>20</v>
      </c>
      <c r="C49" s="156" t="str">
        <f t="shared" si="10"/>
        <v> Cartwright</v>
      </c>
      <c r="D49" s="178"/>
      <c r="E49" s="179">
        <v>1.0</v>
      </c>
      <c r="F49" s="177"/>
      <c r="G49" s="177"/>
      <c r="H49" s="177"/>
      <c r="I49" s="177"/>
      <c r="K49" s="129">
        <f t="shared" si="11"/>
        <v>20</v>
      </c>
      <c r="L49" s="156" t="str">
        <f t="shared" si="12"/>
        <v> Mishra</v>
      </c>
      <c r="M49" s="180">
        <v>1.0</v>
      </c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Gandarias</v>
      </c>
      <c r="D50" s="180">
        <v>1.0</v>
      </c>
      <c r="E50" s="181"/>
      <c r="F50" s="177"/>
      <c r="G50" s="177"/>
      <c r="H50" s="177"/>
      <c r="I50" s="177"/>
      <c r="K50" s="129">
        <f t="shared" si="11"/>
        <v>21</v>
      </c>
      <c r="L50" s="156" t="str">
        <f t="shared" si="12"/>
        <v> Bartlett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Cartwright</v>
      </c>
      <c r="D51" s="180"/>
      <c r="E51" s="179">
        <v>1.0</v>
      </c>
      <c r="F51" s="177"/>
      <c r="G51" s="177"/>
      <c r="H51" s="177"/>
      <c r="I51" s="177"/>
      <c r="K51" s="135">
        <f t="shared" si="11"/>
        <v>21</v>
      </c>
      <c r="L51" s="156" t="str">
        <f t="shared" si="12"/>
        <v> Mishra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Gandarias</v>
      </c>
      <c r="D52" s="178"/>
      <c r="E52" s="179">
        <v>1.0</v>
      </c>
      <c r="F52" s="177"/>
      <c r="G52" s="177"/>
      <c r="H52" s="177"/>
      <c r="I52" s="177"/>
      <c r="K52" s="129">
        <f t="shared" si="11"/>
        <v>22</v>
      </c>
      <c r="L52" s="156" t="str">
        <f t="shared" si="12"/>
        <v> Bartlett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Cartwright</v>
      </c>
      <c r="D53" s="178"/>
      <c r="E53" s="181"/>
      <c r="F53" s="177"/>
      <c r="G53" s="177"/>
      <c r="H53" s="177"/>
      <c r="I53" s="177"/>
      <c r="K53" s="135">
        <f t="shared" si="11"/>
        <v>22</v>
      </c>
      <c r="L53" s="156" t="str">
        <f t="shared" si="12"/>
        <v> Mishra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Gandarias</v>
      </c>
      <c r="D54" s="178"/>
      <c r="E54" s="181"/>
      <c r="F54" s="177"/>
      <c r="G54" s="177"/>
      <c r="H54" s="177"/>
      <c r="I54" s="177"/>
      <c r="K54" s="129">
        <f t="shared" si="11"/>
        <v>23</v>
      </c>
      <c r="L54" s="156" t="str">
        <f t="shared" si="12"/>
        <v> Bartlett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Cartwright</v>
      </c>
      <c r="D55" s="178"/>
      <c r="E55" s="181"/>
      <c r="K55" s="135">
        <f t="shared" si="11"/>
        <v>23</v>
      </c>
      <c r="L55" s="156" t="str">
        <f t="shared" si="12"/>
        <v> Mishra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Gandarias</v>
      </c>
      <c r="D56" s="178"/>
      <c r="E56" s="181"/>
      <c r="K56" s="129">
        <f t="shared" si="11"/>
        <v>24</v>
      </c>
      <c r="L56" s="156" t="str">
        <f t="shared" si="12"/>
        <v> Bartlett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Cartwright</v>
      </c>
      <c r="D57" s="178"/>
      <c r="E57" s="181"/>
      <c r="K57" s="129">
        <f t="shared" si="11"/>
        <v>24</v>
      </c>
      <c r="L57" s="156" t="str">
        <f t="shared" si="12"/>
        <v> Mishra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Gandarias</v>
      </c>
      <c r="D58" s="178"/>
      <c r="E58" s="181"/>
      <c r="K58" s="135">
        <f t="shared" si="11"/>
        <v>25</v>
      </c>
      <c r="L58" s="156" t="str">
        <f t="shared" si="12"/>
        <v> Bartlett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Cartwright</v>
      </c>
      <c r="D59" s="178"/>
      <c r="E59" s="181"/>
      <c r="K59" s="129">
        <f t="shared" si="11"/>
        <v>25</v>
      </c>
      <c r="L59" s="156" t="str">
        <f t="shared" si="12"/>
        <v> Mishra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Gandarias</v>
      </c>
      <c r="D60" s="178"/>
      <c r="E60" s="181"/>
      <c r="K60" s="135">
        <f t="shared" si="11"/>
        <v>26</v>
      </c>
      <c r="L60" s="156" t="str">
        <f t="shared" si="12"/>
        <v> Bartlett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Cartwright</v>
      </c>
      <c r="D61" s="178"/>
      <c r="E61" s="181"/>
      <c r="K61" s="129">
        <f t="shared" si="11"/>
        <v>26</v>
      </c>
      <c r="L61" s="156" t="str">
        <f t="shared" si="12"/>
        <v> Mishra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Gandarias</v>
      </c>
      <c r="D62" s="178"/>
      <c r="E62" s="181"/>
      <c r="K62" s="135">
        <f t="shared" si="11"/>
        <v>27</v>
      </c>
      <c r="L62" s="156" t="str">
        <f t="shared" si="12"/>
        <v> Bartlett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Cartwright</v>
      </c>
      <c r="D63" s="178"/>
      <c r="E63" s="181"/>
      <c r="K63" s="129">
        <f t="shared" si="11"/>
        <v>27</v>
      </c>
      <c r="L63" s="156" t="str">
        <f t="shared" si="12"/>
        <v> Mishra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Gandarias</v>
      </c>
      <c r="D64" s="178"/>
      <c r="E64" s="181"/>
      <c r="K64" s="135">
        <f t="shared" si="11"/>
        <v>28</v>
      </c>
      <c r="L64" s="156" t="str">
        <f t="shared" si="12"/>
        <v> Bartlett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Cartwright</v>
      </c>
      <c r="D65" s="178"/>
      <c r="E65" s="181"/>
      <c r="K65" s="129">
        <f t="shared" si="11"/>
        <v>28</v>
      </c>
      <c r="L65" s="156" t="str">
        <f t="shared" si="12"/>
        <v> Mishra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Gandarias</v>
      </c>
      <c r="D66" s="178"/>
      <c r="E66" s="181"/>
      <c r="K66" s="135">
        <f t="shared" si="11"/>
        <v>29</v>
      </c>
      <c r="L66" s="156" t="str">
        <f t="shared" si="12"/>
        <v> Bartlett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Cartwright</v>
      </c>
      <c r="D67" s="178"/>
      <c r="E67" s="181"/>
      <c r="K67" s="135">
        <f t="shared" si="11"/>
        <v>29</v>
      </c>
      <c r="L67" s="156" t="str">
        <f t="shared" si="12"/>
        <v> Mishra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Gandarias</v>
      </c>
      <c r="D68" s="178"/>
      <c r="E68" s="181"/>
      <c r="K68" s="135">
        <f t="shared" si="11"/>
        <v>30</v>
      </c>
      <c r="L68" s="156" t="str">
        <f t="shared" si="12"/>
        <v> Bartlett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Cartwright</v>
      </c>
      <c r="D69" s="178"/>
      <c r="E69" s="181"/>
      <c r="K69" s="135">
        <f t="shared" si="11"/>
        <v>30</v>
      </c>
      <c r="L69" s="156" t="str">
        <f t="shared" si="12"/>
        <v> Mishra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Gandarias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Bartlett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Cartwright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Mishra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Gandarias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Bartlett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Cartwright</v>
      </c>
      <c r="D73" s="178"/>
      <c r="E73" s="181"/>
      <c r="K73" s="129">
        <v>32.0</v>
      </c>
      <c r="L73" s="156" t="str">
        <f t="shared" si="12"/>
        <v> Mishra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Gandarias</v>
      </c>
      <c r="D74" s="192"/>
      <c r="E74" s="181"/>
      <c r="K74" s="129">
        <v>33.0</v>
      </c>
      <c r="L74" s="156" t="str">
        <f t="shared" si="12"/>
        <v> Bartlett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Cartwright</v>
      </c>
      <c r="D75" s="178"/>
      <c r="E75" s="181"/>
      <c r="K75" s="129">
        <v>33.0</v>
      </c>
      <c r="L75" s="156" t="str">
        <f t="shared" si="12"/>
        <v> Mishra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Gandarias</v>
      </c>
      <c r="D76" s="178"/>
      <c r="E76" s="181"/>
      <c r="K76" s="129">
        <v>34.0</v>
      </c>
      <c r="L76" s="156" t="str">
        <f t="shared" si="12"/>
        <v> Bartlett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Cartwright</v>
      </c>
      <c r="D77" s="178"/>
      <c r="E77" s="181"/>
      <c r="K77" s="129">
        <v>34.0</v>
      </c>
      <c r="L77" s="156" t="str">
        <f t="shared" si="12"/>
        <v> Mishra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Gandarias</v>
      </c>
      <c r="D78" s="178"/>
      <c r="E78" s="181"/>
      <c r="K78" s="129">
        <v>35.0</v>
      </c>
      <c r="L78" s="156" t="str">
        <f t="shared" si="12"/>
        <v> Bartlett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Cartwright</v>
      </c>
      <c r="D79" s="178"/>
      <c r="E79" s="181"/>
      <c r="K79" s="129">
        <v>35.0</v>
      </c>
      <c r="L79" s="156" t="str">
        <f t="shared" si="12"/>
        <v> Mishra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Gandarias</v>
      </c>
      <c r="D80" s="178"/>
      <c r="E80" s="181"/>
      <c r="K80" s="129">
        <v>36.0</v>
      </c>
      <c r="L80" s="156" t="str">
        <f t="shared" si="12"/>
        <v> Bartlett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Cartwright</v>
      </c>
      <c r="D81" s="178"/>
      <c r="E81" s="181"/>
      <c r="K81" s="129">
        <v>36.0</v>
      </c>
      <c r="L81" s="156" t="str">
        <f t="shared" si="12"/>
        <v> Mishra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Gandarias</v>
      </c>
      <c r="D82" s="178"/>
      <c r="E82" s="181"/>
      <c r="K82" s="129">
        <v>37.0</v>
      </c>
      <c r="L82" s="156" t="str">
        <f t="shared" si="12"/>
        <v> Bartlett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Cartwright</v>
      </c>
      <c r="D83" s="178"/>
      <c r="E83" s="181"/>
      <c r="K83" s="129">
        <v>37.0</v>
      </c>
      <c r="L83" s="156" t="str">
        <f t="shared" si="12"/>
        <v> Mishra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Gandarias</v>
      </c>
      <c r="D84" s="178"/>
      <c r="E84" s="181"/>
      <c r="K84" s="129">
        <v>38.0</v>
      </c>
      <c r="L84" s="156" t="str">
        <f t="shared" si="12"/>
        <v> Bartlett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Cartwright</v>
      </c>
      <c r="D85" s="178"/>
      <c r="E85" s="181"/>
      <c r="K85" s="129">
        <v>38.0</v>
      </c>
      <c r="L85" s="156" t="str">
        <f t="shared" si="12"/>
        <v> Mishra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Gandarias</v>
      </c>
      <c r="D86" s="178"/>
      <c r="E86" s="181"/>
      <c r="K86" s="129">
        <v>39.0</v>
      </c>
      <c r="L86" s="156" t="str">
        <f t="shared" si="12"/>
        <v> Bartlett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Cartwright</v>
      </c>
      <c r="D87" s="178"/>
      <c r="E87" s="181"/>
      <c r="K87" s="129">
        <v>39.0</v>
      </c>
      <c r="L87" s="156" t="str">
        <f t="shared" si="12"/>
        <v> Mishra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Gandarias</v>
      </c>
      <c r="D88" s="178"/>
      <c r="E88" s="181"/>
      <c r="K88" s="129">
        <v>40.0</v>
      </c>
      <c r="L88" s="156" t="str">
        <f t="shared" si="12"/>
        <v> Bartlett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Cartwright</v>
      </c>
      <c r="D89" s="178"/>
      <c r="E89" s="181"/>
      <c r="K89" s="129">
        <v>40.0</v>
      </c>
      <c r="L89" s="156" t="str">
        <f t="shared" si="12"/>
        <v> Mishra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96</v>
      </c>
      <c r="D3" s="189">
        <f t="shared" ref="D3:J3" si="1">SUMPRODUCT(D10:D90,MOD(ROW(D10:D90),2)=0)</f>
        <v>19</v>
      </c>
      <c r="E3" s="189">
        <f t="shared" si="1"/>
        <v>3</v>
      </c>
      <c r="F3" s="189">
        <f t="shared" si="1"/>
        <v>1</v>
      </c>
      <c r="G3" s="189">
        <f t="shared" si="1"/>
        <v>2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116</v>
      </c>
      <c r="M3" s="189">
        <f t="shared" ref="M3:S3" si="2">SUMPRODUCT(M10:M90,MOD(ROW(M10:M90),2)=0)</f>
        <v>19</v>
      </c>
      <c r="N3" s="189">
        <f t="shared" si="2"/>
        <v>2</v>
      </c>
      <c r="O3" s="189">
        <f t="shared" si="2"/>
        <v>3</v>
      </c>
      <c r="P3" s="189">
        <f t="shared" si="2"/>
        <v>0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89</v>
      </c>
      <c r="D4" s="191">
        <f t="shared" ref="D4:J4" si="3">SUMPRODUCT(D10:D90,MOD(ROW(D10:D90),2))</f>
        <v>15</v>
      </c>
      <c r="E4" s="191">
        <f t="shared" si="3"/>
        <v>7</v>
      </c>
      <c r="F4" s="191">
        <f t="shared" si="3"/>
        <v>1</v>
      </c>
      <c r="G4" s="191">
        <f t="shared" si="3"/>
        <v>0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133</v>
      </c>
      <c r="M4" s="191">
        <f t="shared" ref="M4:S4" si="4">SUMPRODUCT(M10:M90,MOD(ROW(M10:M90),2))</f>
        <v>18</v>
      </c>
      <c r="N4" s="191">
        <f t="shared" si="4"/>
        <v>4</v>
      </c>
      <c r="O4" s="191">
        <f t="shared" si="4"/>
        <v>0</v>
      </c>
      <c r="P4" s="191">
        <f t="shared" si="4"/>
        <v>1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Wiggs %</v>
      </c>
      <c r="D5" s="137">
        <f t="shared" ref="D5:D6" si="6">IFERROR((E3/(E3+D3)),0)</f>
        <v>0.1363636364</v>
      </c>
      <c r="K5" s="135"/>
      <c r="L5" s="136" t="str">
        <f t="shared" ref="L5:L6" si="7">IFERROR((L10 &amp;" %"), "")</f>
        <v>Hamoui %</v>
      </c>
      <c r="M5" s="137">
        <f t="shared" ref="M5:M6" si="8">IFERROR((N3/(N3+M3)),0)</f>
        <v>0.09523809524</v>
      </c>
      <c r="S5" s="132"/>
      <c r="T5" s="132"/>
      <c r="U5" s="7"/>
    </row>
    <row r="6">
      <c r="A6" s="14"/>
      <c r="B6" s="138"/>
      <c r="C6" s="139" t="str">
        <f t="shared" si="5"/>
        <v>Boggs %</v>
      </c>
      <c r="D6" s="140">
        <f t="shared" si="6"/>
        <v>0.3181818182</v>
      </c>
      <c r="E6" s="141"/>
      <c r="F6" s="141"/>
      <c r="G6" s="141"/>
      <c r="H6" s="141"/>
      <c r="I6" s="141"/>
      <c r="J6" s="141"/>
      <c r="K6" s="138"/>
      <c r="L6" s="139" t="str">
        <f t="shared" si="7"/>
        <v>Camden %</v>
      </c>
      <c r="M6" s="142">
        <f t="shared" si="8"/>
        <v>0.1818181818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">
        <v>188</v>
      </c>
      <c r="D10" s="200">
        <v>1.0</v>
      </c>
      <c r="E10" s="205"/>
      <c r="F10" s="199"/>
      <c r="G10" s="199"/>
      <c r="H10" s="177"/>
      <c r="I10" s="177"/>
      <c r="K10" s="129">
        <v>1.0</v>
      </c>
      <c r="L10" s="136" t="s">
        <v>192</v>
      </c>
      <c r="M10" s="200">
        <v>1.0</v>
      </c>
      <c r="N10" s="201"/>
      <c r="O10" s="177"/>
      <c r="P10" s="199"/>
      <c r="Q10" s="177"/>
      <c r="R10" s="177"/>
      <c r="T10" s="132"/>
      <c r="U10" s="7"/>
    </row>
    <row r="11">
      <c r="A11" s="8"/>
      <c r="B11" s="129">
        <v>1.0</v>
      </c>
      <c r="C11" s="136" t="s">
        <v>190</v>
      </c>
      <c r="D11" s="208"/>
      <c r="E11" s="207">
        <v>1.0</v>
      </c>
      <c r="F11" s="177"/>
      <c r="G11" s="177"/>
      <c r="H11" s="177"/>
      <c r="I11" s="177"/>
      <c r="K11" s="129">
        <v>1.0</v>
      </c>
      <c r="L11" s="136" t="s">
        <v>193</v>
      </c>
      <c r="M11" s="208"/>
      <c r="N11" s="207">
        <v>1.0</v>
      </c>
      <c r="O11" s="177"/>
      <c r="P11" s="177"/>
      <c r="Q11" s="177"/>
      <c r="R11" s="177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Wiggs</v>
      </c>
      <c r="D12" s="202">
        <v>1.0</v>
      </c>
      <c r="E12" s="203"/>
      <c r="F12" s="177"/>
      <c r="G12" s="177"/>
      <c r="H12" s="177"/>
      <c r="I12" s="177"/>
      <c r="K12" s="129">
        <f t="shared" ref="K12:K69" si="11">K10+1</f>
        <v>2</v>
      </c>
      <c r="L12" s="156" t="str">
        <f t="shared" ref="L12:L89" si="12">L10</f>
        <v>Hamoui</v>
      </c>
      <c r="M12" s="200">
        <v>1.0</v>
      </c>
      <c r="N12" s="201"/>
      <c r="O12" s="177"/>
      <c r="P12" s="177"/>
      <c r="Q12" s="177"/>
      <c r="R12" s="177"/>
      <c r="T12" s="132"/>
      <c r="U12" s="7"/>
    </row>
    <row r="13">
      <c r="A13" s="14"/>
      <c r="B13" s="135">
        <f t="shared" si="9"/>
        <v>2</v>
      </c>
      <c r="C13" s="156" t="str">
        <f t="shared" si="10"/>
        <v>Boggs</v>
      </c>
      <c r="D13" s="197"/>
      <c r="E13" s="198">
        <v>1.0</v>
      </c>
      <c r="F13" s="177"/>
      <c r="G13" s="191"/>
      <c r="H13" s="177"/>
      <c r="I13" s="177"/>
      <c r="K13" s="135">
        <f t="shared" si="11"/>
        <v>2</v>
      </c>
      <c r="L13" s="156" t="str">
        <f t="shared" si="12"/>
        <v>Camden</v>
      </c>
      <c r="M13" s="202">
        <v>1.0</v>
      </c>
      <c r="N13" s="188"/>
      <c r="O13" s="177"/>
      <c r="P13" s="177"/>
      <c r="Q13" s="177"/>
      <c r="R13" s="177"/>
      <c r="T13" s="132"/>
      <c r="U13" s="7"/>
    </row>
    <row r="14">
      <c r="A14" s="8"/>
      <c r="B14" s="129">
        <f t="shared" si="9"/>
        <v>3</v>
      </c>
      <c r="C14" s="156" t="str">
        <f t="shared" si="10"/>
        <v>Wiggs</v>
      </c>
      <c r="D14" s="202">
        <v>1.0</v>
      </c>
      <c r="E14" s="203"/>
      <c r="F14" s="177"/>
      <c r="G14" s="177"/>
      <c r="H14" s="177"/>
      <c r="I14" s="177"/>
      <c r="K14" s="129">
        <f t="shared" si="11"/>
        <v>3</v>
      </c>
      <c r="L14" s="156" t="str">
        <f t="shared" si="12"/>
        <v>Hamoui</v>
      </c>
      <c r="M14" s="202">
        <v>1.0</v>
      </c>
      <c r="N14" s="188"/>
      <c r="O14" s="177"/>
      <c r="P14" s="177"/>
      <c r="Q14" s="177"/>
      <c r="R14" s="177"/>
      <c r="T14" s="132"/>
      <c r="U14" s="7"/>
    </row>
    <row r="15">
      <c r="A15" s="14"/>
      <c r="B15" s="135">
        <f t="shared" si="9"/>
        <v>3</v>
      </c>
      <c r="C15" s="156" t="str">
        <f t="shared" si="10"/>
        <v>Boggs</v>
      </c>
      <c r="D15" s="197"/>
      <c r="E15" s="198">
        <v>1.0</v>
      </c>
      <c r="F15" s="177"/>
      <c r="G15" s="177"/>
      <c r="H15" s="177"/>
      <c r="I15" s="177"/>
      <c r="K15" s="135">
        <f t="shared" si="11"/>
        <v>3</v>
      </c>
      <c r="L15" s="156" t="str">
        <f t="shared" si="12"/>
        <v>Camden</v>
      </c>
      <c r="M15" s="200">
        <v>1.0</v>
      </c>
      <c r="N15" s="205"/>
      <c r="O15" s="177"/>
      <c r="P15" s="177"/>
      <c r="Q15" s="177"/>
      <c r="R15" s="177"/>
      <c r="T15" s="132"/>
      <c r="U15" s="7"/>
    </row>
    <row r="16">
      <c r="A16" s="8"/>
      <c r="B16" s="129">
        <f t="shared" si="9"/>
        <v>4</v>
      </c>
      <c r="C16" s="156" t="str">
        <f t="shared" si="10"/>
        <v>Wiggs</v>
      </c>
      <c r="D16" s="200">
        <v>1.0</v>
      </c>
      <c r="E16" s="205"/>
      <c r="F16" s="177"/>
      <c r="G16" s="177"/>
      <c r="H16" s="177"/>
      <c r="I16" s="177"/>
      <c r="K16" s="129">
        <f t="shared" si="11"/>
        <v>4</v>
      </c>
      <c r="L16" s="156" t="str">
        <f t="shared" si="12"/>
        <v>Hamoui</v>
      </c>
      <c r="M16" s="197"/>
      <c r="N16" s="198">
        <v>1.0</v>
      </c>
      <c r="O16" s="177"/>
      <c r="P16" s="177"/>
      <c r="Q16" s="177"/>
      <c r="R16" s="177"/>
      <c r="T16" s="132"/>
      <c r="U16" s="7"/>
    </row>
    <row r="17">
      <c r="A17" s="14"/>
      <c r="B17" s="135">
        <f t="shared" si="9"/>
        <v>4</v>
      </c>
      <c r="C17" s="156" t="str">
        <f t="shared" si="10"/>
        <v>Boggs</v>
      </c>
      <c r="D17" s="200">
        <v>1.0</v>
      </c>
      <c r="E17" s="201"/>
      <c r="F17" s="177"/>
      <c r="G17" s="177"/>
      <c r="H17" s="177"/>
      <c r="I17" s="177"/>
      <c r="K17" s="135">
        <f t="shared" si="11"/>
        <v>4</v>
      </c>
      <c r="L17" s="156" t="str">
        <f t="shared" si="12"/>
        <v>Camden</v>
      </c>
      <c r="M17" s="202">
        <v>1.0</v>
      </c>
      <c r="N17" s="203"/>
      <c r="O17" s="177"/>
      <c r="P17" s="177"/>
      <c r="Q17" s="177"/>
      <c r="R17" s="177"/>
      <c r="T17" s="132"/>
      <c r="U17" s="7"/>
    </row>
    <row r="18">
      <c r="A18" s="8"/>
      <c r="B18" s="129">
        <f t="shared" si="9"/>
        <v>5</v>
      </c>
      <c r="C18" s="156" t="str">
        <f t="shared" si="10"/>
        <v>Wiggs</v>
      </c>
      <c r="D18" s="197"/>
      <c r="E18" s="198">
        <v>1.0</v>
      </c>
      <c r="F18" s="177"/>
      <c r="G18" s="191"/>
      <c r="H18" s="177"/>
      <c r="I18" s="177"/>
      <c r="K18" s="129">
        <f t="shared" si="11"/>
        <v>5</v>
      </c>
      <c r="L18" s="156" t="str">
        <f t="shared" si="12"/>
        <v>Hamoui</v>
      </c>
      <c r="M18" s="200">
        <v>1.0</v>
      </c>
      <c r="N18" s="205"/>
      <c r="O18" s="177"/>
      <c r="P18" s="177"/>
      <c r="Q18" s="177"/>
      <c r="R18" s="177"/>
      <c r="T18" s="132"/>
      <c r="U18" s="7"/>
    </row>
    <row r="19">
      <c r="A19" s="14"/>
      <c r="B19" s="135">
        <f t="shared" si="9"/>
        <v>5</v>
      </c>
      <c r="C19" s="156" t="str">
        <f t="shared" si="10"/>
        <v>Boggs</v>
      </c>
      <c r="D19" s="200">
        <v>1.0</v>
      </c>
      <c r="E19" s="205"/>
      <c r="F19" s="177"/>
      <c r="G19" s="177"/>
      <c r="H19" s="177"/>
      <c r="I19" s="177"/>
      <c r="K19" s="135">
        <f t="shared" si="11"/>
        <v>5</v>
      </c>
      <c r="L19" s="156" t="str">
        <f t="shared" si="12"/>
        <v>Camden</v>
      </c>
      <c r="M19" s="202">
        <v>1.0</v>
      </c>
      <c r="N19" s="203"/>
      <c r="O19" s="177"/>
      <c r="P19" s="177"/>
      <c r="Q19" s="177"/>
      <c r="R19" s="177"/>
      <c r="T19" s="132"/>
      <c r="U19" s="7"/>
    </row>
    <row r="20">
      <c r="A20" s="8"/>
      <c r="B20" s="129">
        <f t="shared" si="9"/>
        <v>6</v>
      </c>
      <c r="C20" s="156" t="str">
        <f t="shared" si="10"/>
        <v>Wiggs</v>
      </c>
      <c r="D20" s="200">
        <v>1.0</v>
      </c>
      <c r="E20" s="201"/>
      <c r="F20" s="177"/>
      <c r="G20" s="177"/>
      <c r="H20" s="177"/>
      <c r="I20" s="177"/>
      <c r="K20" s="129">
        <f t="shared" si="11"/>
        <v>6</v>
      </c>
      <c r="L20" s="156" t="str">
        <f t="shared" si="12"/>
        <v>Hamoui</v>
      </c>
      <c r="M20" s="200">
        <v>1.0</v>
      </c>
      <c r="N20" s="205"/>
      <c r="O20" s="127">
        <v>1.0</v>
      </c>
      <c r="P20" s="177"/>
      <c r="Q20" s="177"/>
      <c r="R20" s="177"/>
      <c r="T20" s="132"/>
      <c r="U20" s="7"/>
    </row>
    <row r="21">
      <c r="A21" s="14"/>
      <c r="B21" s="135">
        <f t="shared" si="9"/>
        <v>6</v>
      </c>
      <c r="C21" s="156" t="str">
        <f t="shared" si="10"/>
        <v>Boggs</v>
      </c>
      <c r="D21" s="200">
        <v>1.0</v>
      </c>
      <c r="E21" s="205"/>
      <c r="F21" s="177"/>
      <c r="G21" s="177"/>
      <c r="H21" s="177"/>
      <c r="I21" s="177"/>
      <c r="K21" s="135">
        <f t="shared" si="11"/>
        <v>6</v>
      </c>
      <c r="L21" s="156" t="str">
        <f t="shared" si="12"/>
        <v>Camden</v>
      </c>
      <c r="M21" s="200">
        <v>1.0</v>
      </c>
      <c r="N21" s="205"/>
      <c r="O21" s="177"/>
      <c r="P21" s="177"/>
      <c r="Q21" s="177"/>
      <c r="R21" s="177"/>
      <c r="T21" s="132"/>
      <c r="U21" s="7"/>
    </row>
    <row r="22">
      <c r="A22" s="8"/>
      <c r="B22" s="129">
        <f t="shared" si="9"/>
        <v>7</v>
      </c>
      <c r="C22" s="156" t="str">
        <f t="shared" si="10"/>
        <v>Wiggs</v>
      </c>
      <c r="D22" s="202">
        <v>1.0</v>
      </c>
      <c r="E22" s="188"/>
      <c r="F22" s="177"/>
      <c r="G22" s="177"/>
      <c r="H22" s="177"/>
      <c r="I22" s="177"/>
      <c r="K22" s="129">
        <f t="shared" si="11"/>
        <v>7</v>
      </c>
      <c r="L22" s="156" t="str">
        <f t="shared" si="12"/>
        <v>Hamoui</v>
      </c>
      <c r="M22" s="200">
        <v>1.0</v>
      </c>
      <c r="N22" s="205"/>
      <c r="O22" s="177"/>
      <c r="P22" s="177"/>
      <c r="Q22" s="177"/>
      <c r="R22" s="177"/>
      <c r="T22" s="132"/>
      <c r="U22" s="7"/>
    </row>
    <row r="23">
      <c r="A23" s="14"/>
      <c r="B23" s="135">
        <f t="shared" si="9"/>
        <v>7</v>
      </c>
      <c r="C23" s="156" t="str">
        <f t="shared" si="10"/>
        <v>Boggs</v>
      </c>
      <c r="D23" s="197"/>
      <c r="E23" s="198">
        <v>1.0</v>
      </c>
      <c r="F23" s="177"/>
      <c r="G23" s="177"/>
      <c r="H23" s="177"/>
      <c r="I23" s="177"/>
      <c r="K23" s="135">
        <f t="shared" si="11"/>
        <v>7</v>
      </c>
      <c r="L23" s="156" t="str">
        <f t="shared" si="12"/>
        <v>Camden</v>
      </c>
      <c r="M23" s="197"/>
      <c r="N23" s="198">
        <v>1.0</v>
      </c>
      <c r="O23" s="177"/>
      <c r="P23" s="177"/>
      <c r="Q23" s="177"/>
      <c r="R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Wiggs</v>
      </c>
      <c r="D24" s="200">
        <v>1.0</v>
      </c>
      <c r="E24" s="205"/>
      <c r="F24" s="177"/>
      <c r="G24" s="177"/>
      <c r="H24" s="177"/>
      <c r="I24" s="177"/>
      <c r="K24" s="129">
        <f t="shared" si="11"/>
        <v>8</v>
      </c>
      <c r="L24" s="156" t="str">
        <f t="shared" si="12"/>
        <v>Hamoui</v>
      </c>
      <c r="M24" s="202">
        <v>1.0</v>
      </c>
      <c r="N24" s="188"/>
      <c r="O24" s="177"/>
      <c r="P24" s="177"/>
      <c r="Q24" s="177"/>
      <c r="R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Boggs</v>
      </c>
      <c r="D25" s="208"/>
      <c r="E25" s="207">
        <v>1.0</v>
      </c>
      <c r="F25" s="177"/>
      <c r="G25" s="177"/>
      <c r="H25" s="177"/>
      <c r="I25" s="177"/>
      <c r="K25" s="135">
        <f t="shared" si="11"/>
        <v>8</v>
      </c>
      <c r="L25" s="156" t="str">
        <f t="shared" si="12"/>
        <v>Camden</v>
      </c>
      <c r="M25" s="202">
        <v>1.0</v>
      </c>
      <c r="N25" s="203"/>
      <c r="O25" s="177"/>
      <c r="P25" s="177"/>
      <c r="Q25" s="177"/>
      <c r="R25" s="177"/>
      <c r="T25" s="132"/>
      <c r="U25" s="7"/>
    </row>
    <row r="26">
      <c r="A26" s="8"/>
      <c r="B26" s="129">
        <f t="shared" si="9"/>
        <v>9</v>
      </c>
      <c r="C26" s="156" t="str">
        <f t="shared" si="10"/>
        <v>Wiggs</v>
      </c>
      <c r="D26" s="202">
        <v>1.0</v>
      </c>
      <c r="E26" s="188"/>
      <c r="F26" s="177"/>
      <c r="G26" s="177"/>
      <c r="H26" s="177"/>
      <c r="I26" s="177"/>
      <c r="K26" s="129">
        <f t="shared" si="11"/>
        <v>9</v>
      </c>
      <c r="L26" s="156" t="str">
        <f t="shared" si="12"/>
        <v>Hamoui</v>
      </c>
      <c r="M26" s="200">
        <v>1.0</v>
      </c>
      <c r="N26" s="205"/>
      <c r="O26" s="177"/>
      <c r="P26" s="177"/>
      <c r="Q26" s="177"/>
      <c r="R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Boggs</v>
      </c>
      <c r="D27" s="202">
        <v>1.0</v>
      </c>
      <c r="E27" s="188"/>
      <c r="F27" s="177"/>
      <c r="G27" s="177"/>
      <c r="H27" s="177"/>
      <c r="I27" s="177"/>
      <c r="K27" s="135">
        <f t="shared" si="11"/>
        <v>9</v>
      </c>
      <c r="L27" s="156" t="str">
        <f t="shared" si="12"/>
        <v>Camden</v>
      </c>
      <c r="M27" s="200">
        <v>1.0</v>
      </c>
      <c r="N27" s="205"/>
      <c r="O27" s="177"/>
      <c r="P27" s="177"/>
      <c r="Q27" s="177"/>
      <c r="R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Wiggs</v>
      </c>
      <c r="D28" s="200">
        <v>1.0</v>
      </c>
      <c r="E28" s="205"/>
      <c r="F28" s="177"/>
      <c r="G28" s="217">
        <v>1.0</v>
      </c>
      <c r="H28" s="177"/>
      <c r="I28" s="177"/>
      <c r="K28" s="129">
        <f t="shared" si="11"/>
        <v>10</v>
      </c>
      <c r="L28" s="156" t="str">
        <f t="shared" si="12"/>
        <v>Hamoui</v>
      </c>
      <c r="M28" s="200">
        <v>1.0</v>
      </c>
      <c r="N28" s="205"/>
      <c r="O28" s="177"/>
      <c r="P28" s="177"/>
      <c r="Q28" s="177"/>
      <c r="R28" s="177"/>
      <c r="T28" s="132"/>
      <c r="U28" s="7"/>
    </row>
    <row r="29">
      <c r="A29" s="14"/>
      <c r="B29" s="135">
        <f t="shared" si="9"/>
        <v>10</v>
      </c>
      <c r="C29" s="156" t="str">
        <f t="shared" si="10"/>
        <v>Boggs</v>
      </c>
      <c r="D29" s="197"/>
      <c r="E29" s="198">
        <v>1.0</v>
      </c>
      <c r="F29" s="177"/>
      <c r="G29" s="177"/>
      <c r="H29" s="177"/>
      <c r="I29" s="177"/>
      <c r="K29" s="135">
        <f t="shared" si="11"/>
        <v>10</v>
      </c>
      <c r="L29" s="156" t="str">
        <f t="shared" si="12"/>
        <v>Camden</v>
      </c>
      <c r="M29" s="200">
        <v>1.0</v>
      </c>
      <c r="N29" s="205"/>
      <c r="O29" s="177"/>
      <c r="P29" s="177"/>
      <c r="Q29" s="177"/>
      <c r="R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Wiggs</v>
      </c>
      <c r="D30" s="200">
        <v>1.0</v>
      </c>
      <c r="E30" s="205"/>
      <c r="F30" s="177"/>
      <c r="G30" s="177"/>
      <c r="H30" s="177"/>
      <c r="I30" s="177"/>
      <c r="K30" s="129">
        <f t="shared" si="11"/>
        <v>11</v>
      </c>
      <c r="L30" s="156" t="str">
        <f t="shared" si="12"/>
        <v>Hamoui</v>
      </c>
      <c r="M30" s="200">
        <v>1.0</v>
      </c>
      <c r="N30" s="205"/>
      <c r="O30" s="177"/>
      <c r="P30" s="177"/>
      <c r="Q30" s="177"/>
      <c r="R30" s="177"/>
      <c r="T30" s="132"/>
      <c r="U30" s="7"/>
    </row>
    <row r="31">
      <c r="A31" s="14"/>
      <c r="B31" s="135">
        <f t="shared" si="9"/>
        <v>11</v>
      </c>
      <c r="C31" s="156" t="str">
        <f t="shared" si="10"/>
        <v>Boggs</v>
      </c>
      <c r="D31" s="200">
        <v>1.0</v>
      </c>
      <c r="E31" s="205"/>
      <c r="F31" s="127">
        <v>1.0</v>
      </c>
      <c r="G31" s="177"/>
      <c r="H31" s="177"/>
      <c r="I31" s="177"/>
      <c r="K31" s="135">
        <f t="shared" si="11"/>
        <v>11</v>
      </c>
      <c r="L31" s="156" t="str">
        <f t="shared" si="12"/>
        <v>Camden</v>
      </c>
      <c r="M31" s="202">
        <v>1.0</v>
      </c>
      <c r="N31" s="203"/>
      <c r="O31" s="177"/>
      <c r="P31" s="177"/>
      <c r="Q31" s="177"/>
      <c r="R31" s="177"/>
      <c r="T31" s="132"/>
      <c r="U31" s="7"/>
    </row>
    <row r="32">
      <c r="A32" s="8"/>
      <c r="B32" s="129">
        <f t="shared" si="9"/>
        <v>12</v>
      </c>
      <c r="C32" s="156" t="str">
        <f t="shared" si="10"/>
        <v>Wiggs</v>
      </c>
      <c r="D32" s="200"/>
      <c r="E32" s="198">
        <v>1.0</v>
      </c>
      <c r="F32" s="177"/>
      <c r="G32" s="177"/>
      <c r="H32" s="177"/>
      <c r="I32" s="177"/>
      <c r="K32" s="129">
        <f t="shared" si="11"/>
        <v>12</v>
      </c>
      <c r="L32" s="156" t="str">
        <f t="shared" si="12"/>
        <v>Hamoui</v>
      </c>
      <c r="M32" s="200">
        <v>1.0</v>
      </c>
      <c r="N32" s="205"/>
      <c r="O32" s="177"/>
      <c r="P32" s="177"/>
      <c r="Q32" s="177"/>
      <c r="R32" s="177"/>
      <c r="T32" s="132"/>
      <c r="U32" s="7"/>
    </row>
    <row r="33">
      <c r="A33" s="14"/>
      <c r="B33" s="135">
        <f t="shared" si="9"/>
        <v>12</v>
      </c>
      <c r="C33" s="156" t="str">
        <f t="shared" si="10"/>
        <v>Boggs</v>
      </c>
      <c r="D33" s="200">
        <v>1.0</v>
      </c>
      <c r="E33" s="205"/>
      <c r="F33" s="177"/>
      <c r="G33" s="177"/>
      <c r="H33" s="177"/>
      <c r="I33" s="177"/>
      <c r="K33" s="135">
        <f t="shared" si="11"/>
        <v>12</v>
      </c>
      <c r="L33" s="156" t="str">
        <f t="shared" si="12"/>
        <v>Camden</v>
      </c>
      <c r="M33" s="200">
        <v>1.0</v>
      </c>
      <c r="N33" s="201"/>
      <c r="O33" s="177"/>
      <c r="P33" s="127">
        <v>1.0</v>
      </c>
      <c r="Q33" s="177"/>
      <c r="R33" s="177"/>
      <c r="T33" s="132"/>
      <c r="U33" s="7"/>
    </row>
    <row r="34">
      <c r="A34" s="8"/>
      <c r="B34" s="129">
        <f t="shared" si="9"/>
        <v>13</v>
      </c>
      <c r="C34" s="156" t="str">
        <f t="shared" si="10"/>
        <v>Wiggs</v>
      </c>
      <c r="D34" s="200">
        <v>1.0</v>
      </c>
      <c r="E34" s="205"/>
      <c r="F34" s="177"/>
      <c r="G34" s="177"/>
      <c r="H34" s="177"/>
      <c r="I34" s="177"/>
      <c r="K34" s="129">
        <f t="shared" si="11"/>
        <v>13</v>
      </c>
      <c r="L34" s="156" t="str">
        <f t="shared" si="12"/>
        <v>Hamoui</v>
      </c>
      <c r="M34" s="202">
        <v>1.0</v>
      </c>
      <c r="N34" s="188"/>
      <c r="O34" s="177"/>
      <c r="P34" s="177"/>
      <c r="Q34" s="177"/>
      <c r="R34" s="177"/>
      <c r="T34" s="132"/>
      <c r="U34" s="7"/>
    </row>
    <row r="35">
      <c r="A35" s="14"/>
      <c r="B35" s="135">
        <f t="shared" si="9"/>
        <v>13</v>
      </c>
      <c r="C35" s="156" t="str">
        <f t="shared" si="10"/>
        <v>Boggs</v>
      </c>
      <c r="D35" s="202">
        <v>1.0</v>
      </c>
      <c r="E35" s="188"/>
      <c r="F35" s="177"/>
      <c r="G35" s="177"/>
      <c r="H35" s="177"/>
      <c r="I35" s="177"/>
      <c r="K35" s="135">
        <f t="shared" si="11"/>
        <v>13</v>
      </c>
      <c r="L35" s="156" t="str">
        <f t="shared" si="12"/>
        <v>Camden</v>
      </c>
      <c r="M35" s="200">
        <v>1.0</v>
      </c>
      <c r="N35" s="205"/>
      <c r="O35" s="177"/>
      <c r="P35" s="177"/>
      <c r="Q35" s="177"/>
      <c r="R35" s="177"/>
      <c r="T35" s="132"/>
      <c r="U35" s="7"/>
    </row>
    <row r="36">
      <c r="A36" s="8"/>
      <c r="B36" s="129">
        <f t="shared" si="9"/>
        <v>14</v>
      </c>
      <c r="C36" s="156" t="str">
        <f t="shared" si="10"/>
        <v>Wiggs</v>
      </c>
      <c r="D36" s="202">
        <v>1.0</v>
      </c>
      <c r="E36" s="205"/>
      <c r="F36" s="177"/>
      <c r="G36" s="177"/>
      <c r="H36" s="177"/>
      <c r="I36" s="177"/>
      <c r="K36" s="129">
        <f t="shared" si="11"/>
        <v>14</v>
      </c>
      <c r="L36" s="156" t="str">
        <f t="shared" si="12"/>
        <v>Hamoui</v>
      </c>
      <c r="M36" s="208"/>
      <c r="N36" s="198">
        <v>1.0</v>
      </c>
      <c r="O36" s="177"/>
      <c r="P36" s="177"/>
      <c r="Q36" s="177"/>
      <c r="R36" s="177"/>
      <c r="T36" s="132"/>
      <c r="U36" s="7"/>
    </row>
    <row r="37">
      <c r="A37" s="14"/>
      <c r="B37" s="135">
        <f t="shared" si="9"/>
        <v>14</v>
      </c>
      <c r="C37" s="156" t="str">
        <f t="shared" si="10"/>
        <v>Boggs</v>
      </c>
      <c r="D37" s="202">
        <v>1.0</v>
      </c>
      <c r="E37" s="188"/>
      <c r="F37" s="177"/>
      <c r="G37" s="177"/>
      <c r="H37" s="177"/>
      <c r="I37" s="177"/>
      <c r="K37" s="135">
        <f t="shared" si="11"/>
        <v>14</v>
      </c>
      <c r="L37" s="156" t="str">
        <f t="shared" si="12"/>
        <v>Camden</v>
      </c>
      <c r="M37" s="202">
        <v>1.0</v>
      </c>
      <c r="N37" s="188"/>
      <c r="O37" s="177"/>
      <c r="P37" s="177"/>
      <c r="Q37" s="177"/>
      <c r="R37" s="177"/>
      <c r="T37" s="132"/>
      <c r="U37" s="7"/>
    </row>
    <row r="38">
      <c r="A38" s="8"/>
      <c r="B38" s="129">
        <f t="shared" si="9"/>
        <v>15</v>
      </c>
      <c r="C38" s="156" t="str">
        <f t="shared" si="10"/>
        <v>Wiggs</v>
      </c>
      <c r="D38" s="202">
        <v>1.0</v>
      </c>
      <c r="E38" s="205"/>
      <c r="F38" s="177"/>
      <c r="G38" s="177"/>
      <c r="H38" s="177"/>
      <c r="I38" s="177"/>
      <c r="K38" s="129">
        <f t="shared" si="11"/>
        <v>15</v>
      </c>
      <c r="L38" s="156" t="str">
        <f t="shared" si="12"/>
        <v>Hamoui</v>
      </c>
      <c r="M38" s="202">
        <v>1.0</v>
      </c>
      <c r="N38" s="205"/>
      <c r="O38" s="177"/>
      <c r="P38" s="177"/>
      <c r="Q38" s="177"/>
      <c r="R38" s="177"/>
      <c r="T38" s="132"/>
      <c r="U38" s="7"/>
    </row>
    <row r="39">
      <c r="A39" s="14"/>
      <c r="B39" s="135">
        <f t="shared" si="9"/>
        <v>15</v>
      </c>
      <c r="C39" s="156" t="str">
        <f t="shared" si="10"/>
        <v>Boggs</v>
      </c>
      <c r="D39" s="200">
        <v>1.0</v>
      </c>
      <c r="E39" s="205"/>
      <c r="F39" s="177"/>
      <c r="G39" s="177"/>
      <c r="H39" s="177"/>
      <c r="I39" s="177"/>
      <c r="K39" s="135">
        <f t="shared" si="11"/>
        <v>15</v>
      </c>
      <c r="L39" s="156" t="str">
        <f t="shared" si="12"/>
        <v>Camden</v>
      </c>
      <c r="M39" s="202">
        <v>1.0</v>
      </c>
      <c r="N39" s="205"/>
      <c r="O39" s="177"/>
      <c r="P39" s="177"/>
      <c r="Q39" s="177"/>
      <c r="R39" s="177"/>
      <c r="T39" s="132"/>
      <c r="U39" s="7"/>
    </row>
    <row r="40">
      <c r="A40" s="8"/>
      <c r="B40" s="129">
        <f t="shared" si="9"/>
        <v>16</v>
      </c>
      <c r="C40" s="156" t="str">
        <f t="shared" si="10"/>
        <v>Wiggs</v>
      </c>
      <c r="D40" s="180">
        <v>1.0</v>
      </c>
      <c r="E40" s="179"/>
      <c r="F40" s="177"/>
      <c r="G40" s="127">
        <v>1.0</v>
      </c>
      <c r="H40" s="177"/>
      <c r="I40" s="177"/>
      <c r="K40" s="129">
        <f t="shared" si="11"/>
        <v>16</v>
      </c>
      <c r="L40" s="156" t="str">
        <f t="shared" si="12"/>
        <v>Hamoui</v>
      </c>
      <c r="M40" s="202">
        <v>1.0</v>
      </c>
      <c r="N40" s="205"/>
      <c r="O40" s="127">
        <v>1.0</v>
      </c>
      <c r="P40" s="177"/>
      <c r="Q40" s="177"/>
      <c r="R40" s="177"/>
      <c r="T40" s="132"/>
      <c r="U40" s="7"/>
    </row>
    <row r="41">
      <c r="A41" s="14"/>
      <c r="B41" s="135">
        <f t="shared" si="9"/>
        <v>16</v>
      </c>
      <c r="C41" s="156" t="str">
        <f t="shared" si="10"/>
        <v>Boggs</v>
      </c>
      <c r="D41" s="180">
        <v>1.0</v>
      </c>
      <c r="E41" s="181"/>
      <c r="F41" s="177"/>
      <c r="G41" s="177"/>
      <c r="H41" s="177"/>
      <c r="I41" s="177"/>
      <c r="K41" s="135">
        <f t="shared" si="11"/>
        <v>16</v>
      </c>
      <c r="L41" s="156" t="str">
        <f t="shared" si="12"/>
        <v>Camden</v>
      </c>
      <c r="M41" s="206"/>
      <c r="N41" s="198">
        <v>1.0</v>
      </c>
      <c r="O41" s="177"/>
      <c r="P41" s="177"/>
      <c r="Q41" s="177"/>
      <c r="R41" s="177"/>
      <c r="T41" s="132"/>
      <c r="U41" s="7"/>
    </row>
    <row r="42">
      <c r="A42" s="8"/>
      <c r="B42" s="129">
        <f t="shared" si="9"/>
        <v>17</v>
      </c>
      <c r="C42" s="156" t="str">
        <f t="shared" si="10"/>
        <v>Wiggs</v>
      </c>
      <c r="D42" s="180">
        <v>1.0</v>
      </c>
      <c r="E42" s="181"/>
      <c r="F42" s="177"/>
      <c r="G42" s="177"/>
      <c r="H42" s="177"/>
      <c r="I42" s="177"/>
      <c r="K42" s="129">
        <f t="shared" si="11"/>
        <v>17</v>
      </c>
      <c r="L42" s="156" t="str">
        <f t="shared" si="12"/>
        <v>Hamoui</v>
      </c>
      <c r="M42" s="202">
        <v>1.0</v>
      </c>
      <c r="N42" s="205"/>
      <c r="O42" s="127">
        <v>1.0</v>
      </c>
      <c r="P42" s="177"/>
      <c r="Q42" s="177"/>
      <c r="R42" s="177"/>
      <c r="T42" s="132"/>
      <c r="U42" s="7"/>
    </row>
    <row r="43">
      <c r="A43" s="14"/>
      <c r="B43" s="135">
        <f t="shared" si="9"/>
        <v>17</v>
      </c>
      <c r="C43" s="156" t="str">
        <f t="shared" si="10"/>
        <v>Boggs</v>
      </c>
      <c r="D43" s="180">
        <v>1.0</v>
      </c>
      <c r="E43" s="179"/>
      <c r="F43" s="177"/>
      <c r="G43" s="177"/>
      <c r="H43" s="177"/>
      <c r="I43" s="177"/>
      <c r="K43" s="135">
        <f t="shared" si="11"/>
        <v>17</v>
      </c>
      <c r="L43" s="156" t="str">
        <f t="shared" si="12"/>
        <v>Camden</v>
      </c>
      <c r="M43" s="180">
        <v>1.0</v>
      </c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Wiggs</v>
      </c>
      <c r="D44" s="180">
        <v>1.0</v>
      </c>
      <c r="E44" s="181"/>
      <c r="F44" s="177"/>
      <c r="G44" s="177"/>
      <c r="H44" s="177"/>
      <c r="I44" s="177"/>
      <c r="K44" s="129">
        <f t="shared" si="11"/>
        <v>18</v>
      </c>
      <c r="L44" s="156" t="str">
        <f t="shared" si="12"/>
        <v>Hamoui</v>
      </c>
      <c r="M44" s="180"/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Boggs</v>
      </c>
      <c r="D45" s="180">
        <v>1.0</v>
      </c>
      <c r="E45" s="181"/>
      <c r="F45" s="177"/>
      <c r="G45" s="177"/>
      <c r="H45" s="177"/>
      <c r="I45" s="177"/>
      <c r="K45" s="129">
        <f t="shared" si="11"/>
        <v>18</v>
      </c>
      <c r="L45" s="156" t="str">
        <f t="shared" si="12"/>
        <v>Camden</v>
      </c>
      <c r="M45" s="180"/>
      <c r="N45" s="179">
        <v>1.0</v>
      </c>
      <c r="T45" s="132"/>
      <c r="U45" s="7"/>
    </row>
    <row r="46">
      <c r="A46" s="14"/>
      <c r="B46" s="135">
        <f t="shared" si="9"/>
        <v>19</v>
      </c>
      <c r="C46" s="156" t="str">
        <f t="shared" si="10"/>
        <v>Wiggs</v>
      </c>
      <c r="D46" s="180">
        <v>1.0</v>
      </c>
      <c r="E46" s="179"/>
      <c r="F46" s="177"/>
      <c r="G46" s="177"/>
      <c r="H46" s="177"/>
      <c r="I46" s="177"/>
      <c r="K46" s="135">
        <f t="shared" si="11"/>
        <v>19</v>
      </c>
      <c r="L46" s="156" t="str">
        <f t="shared" si="12"/>
        <v>Hamoui</v>
      </c>
      <c r="M46" s="180">
        <v>1.0</v>
      </c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Boggs</v>
      </c>
      <c r="D47" s="180">
        <v>1.0</v>
      </c>
      <c r="E47" s="181"/>
      <c r="F47" s="177"/>
      <c r="G47" s="177"/>
      <c r="H47" s="177"/>
      <c r="I47" s="177"/>
      <c r="K47" s="129">
        <f t="shared" si="11"/>
        <v>19</v>
      </c>
      <c r="L47" s="156" t="str">
        <f t="shared" si="12"/>
        <v>Camden</v>
      </c>
      <c r="M47" s="180">
        <v>1.0</v>
      </c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Wiggs</v>
      </c>
      <c r="D48" s="180"/>
      <c r="E48" s="179">
        <v>1.0</v>
      </c>
      <c r="F48" s="177"/>
      <c r="G48" s="177"/>
      <c r="H48" s="177"/>
      <c r="I48" s="177"/>
      <c r="K48" s="135">
        <f t="shared" si="11"/>
        <v>20</v>
      </c>
      <c r="L48" s="156" t="str">
        <f t="shared" si="12"/>
        <v>Hamoui</v>
      </c>
      <c r="M48" s="180">
        <v>1.0</v>
      </c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Boggs</v>
      </c>
      <c r="D49" s="180">
        <v>1.0</v>
      </c>
      <c r="E49" s="179"/>
      <c r="F49" s="177"/>
      <c r="G49" s="177"/>
      <c r="H49" s="177"/>
      <c r="I49" s="177"/>
      <c r="K49" s="129">
        <f t="shared" si="11"/>
        <v>20</v>
      </c>
      <c r="L49" s="156" t="str">
        <f t="shared" si="12"/>
        <v>Camden</v>
      </c>
      <c r="M49" s="180">
        <v>1.0</v>
      </c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Wiggs</v>
      </c>
      <c r="D50" s="180">
        <v>1.0</v>
      </c>
      <c r="E50" s="181"/>
      <c r="F50" s="127">
        <v>1.0</v>
      </c>
      <c r="G50" s="177"/>
      <c r="H50" s="177"/>
      <c r="I50" s="177"/>
      <c r="K50" s="129">
        <f t="shared" si="11"/>
        <v>21</v>
      </c>
      <c r="L50" s="156" t="str">
        <f t="shared" si="12"/>
        <v>Hamoui</v>
      </c>
      <c r="M50" s="180">
        <v>1.0</v>
      </c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Boggs</v>
      </c>
      <c r="D51" s="180">
        <v>1.0</v>
      </c>
      <c r="E51" s="181"/>
      <c r="F51" s="177"/>
      <c r="G51" s="177"/>
      <c r="H51" s="177"/>
      <c r="I51" s="177"/>
      <c r="K51" s="135">
        <f t="shared" si="11"/>
        <v>21</v>
      </c>
      <c r="L51" s="156" t="str">
        <f t="shared" si="12"/>
        <v>Camden</v>
      </c>
      <c r="M51" s="180">
        <v>1.0</v>
      </c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Wiggs</v>
      </c>
      <c r="D52" s="180">
        <v>1.0</v>
      </c>
      <c r="E52" s="181"/>
      <c r="F52" s="177"/>
      <c r="G52" s="177"/>
      <c r="H52" s="177"/>
      <c r="I52" s="177"/>
      <c r="K52" s="129">
        <f t="shared" si="11"/>
        <v>22</v>
      </c>
      <c r="L52" s="156" t="str">
        <f t="shared" si="12"/>
        <v>Hamoui</v>
      </c>
      <c r="M52" s="180">
        <v>1.0</v>
      </c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Boggs</v>
      </c>
      <c r="D53" s="180"/>
      <c r="E53" s="179">
        <v>1.0</v>
      </c>
      <c r="F53" s="177"/>
      <c r="G53" s="177"/>
      <c r="H53" s="177"/>
      <c r="I53" s="177"/>
      <c r="K53" s="135">
        <f t="shared" si="11"/>
        <v>22</v>
      </c>
      <c r="L53" s="156" t="str">
        <f t="shared" si="12"/>
        <v>Camden</v>
      </c>
      <c r="M53" s="180">
        <v>1.0</v>
      </c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Wiggs</v>
      </c>
      <c r="D54" s="178"/>
      <c r="E54" s="181"/>
      <c r="F54" s="177"/>
      <c r="G54" s="177"/>
      <c r="H54" s="177"/>
      <c r="I54" s="177"/>
      <c r="K54" s="129">
        <f t="shared" si="11"/>
        <v>23</v>
      </c>
      <c r="L54" s="156" t="str">
        <f t="shared" si="12"/>
        <v>Hamoui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Boggs</v>
      </c>
      <c r="D55" s="178"/>
      <c r="E55" s="181"/>
      <c r="K55" s="135">
        <f t="shared" si="11"/>
        <v>23</v>
      </c>
      <c r="L55" s="156" t="str">
        <f t="shared" si="12"/>
        <v>Camden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Wiggs</v>
      </c>
      <c r="D56" s="178"/>
      <c r="E56" s="181"/>
      <c r="K56" s="129">
        <f t="shared" si="11"/>
        <v>24</v>
      </c>
      <c r="L56" s="156" t="str">
        <f t="shared" si="12"/>
        <v>Hamoui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Boggs</v>
      </c>
      <c r="D57" s="178"/>
      <c r="E57" s="181"/>
      <c r="K57" s="129">
        <f t="shared" si="11"/>
        <v>24</v>
      </c>
      <c r="L57" s="156" t="str">
        <f t="shared" si="12"/>
        <v>Camden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Wiggs</v>
      </c>
      <c r="D58" s="178"/>
      <c r="E58" s="181"/>
      <c r="K58" s="135">
        <f t="shared" si="11"/>
        <v>25</v>
      </c>
      <c r="L58" s="156" t="str">
        <f t="shared" si="12"/>
        <v>Hamoui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Boggs</v>
      </c>
      <c r="D59" s="178"/>
      <c r="E59" s="181"/>
      <c r="K59" s="129">
        <f t="shared" si="11"/>
        <v>25</v>
      </c>
      <c r="L59" s="156" t="str">
        <f t="shared" si="12"/>
        <v>Camden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Wiggs</v>
      </c>
      <c r="D60" s="178"/>
      <c r="E60" s="181"/>
      <c r="K60" s="135">
        <f t="shared" si="11"/>
        <v>26</v>
      </c>
      <c r="L60" s="156" t="str">
        <f t="shared" si="12"/>
        <v>Hamoui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Boggs</v>
      </c>
      <c r="D61" s="178"/>
      <c r="E61" s="181"/>
      <c r="K61" s="129">
        <f t="shared" si="11"/>
        <v>26</v>
      </c>
      <c r="L61" s="156" t="str">
        <f t="shared" si="12"/>
        <v>Camden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Wiggs</v>
      </c>
      <c r="D62" s="178"/>
      <c r="E62" s="181"/>
      <c r="K62" s="135">
        <f t="shared" si="11"/>
        <v>27</v>
      </c>
      <c r="L62" s="156" t="str">
        <f t="shared" si="12"/>
        <v>Hamoui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Boggs</v>
      </c>
      <c r="D63" s="178"/>
      <c r="E63" s="181"/>
      <c r="K63" s="129">
        <f t="shared" si="11"/>
        <v>27</v>
      </c>
      <c r="L63" s="156" t="str">
        <f t="shared" si="12"/>
        <v>Camden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Wiggs</v>
      </c>
      <c r="D64" s="178"/>
      <c r="E64" s="181"/>
      <c r="K64" s="135">
        <f t="shared" si="11"/>
        <v>28</v>
      </c>
      <c r="L64" s="156" t="str">
        <f t="shared" si="12"/>
        <v>Hamoui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Boggs</v>
      </c>
      <c r="D65" s="178"/>
      <c r="E65" s="181"/>
      <c r="K65" s="129">
        <f t="shared" si="11"/>
        <v>28</v>
      </c>
      <c r="L65" s="156" t="str">
        <f t="shared" si="12"/>
        <v>Camden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Wiggs</v>
      </c>
      <c r="D66" s="178"/>
      <c r="E66" s="181"/>
      <c r="K66" s="135">
        <f t="shared" si="11"/>
        <v>29</v>
      </c>
      <c r="L66" s="156" t="str">
        <f t="shared" si="12"/>
        <v>Hamoui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Boggs</v>
      </c>
      <c r="D67" s="178"/>
      <c r="E67" s="181"/>
      <c r="K67" s="135">
        <f t="shared" si="11"/>
        <v>29</v>
      </c>
      <c r="L67" s="156" t="str">
        <f t="shared" si="12"/>
        <v>Camden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Wiggs</v>
      </c>
      <c r="D68" s="178"/>
      <c r="E68" s="181"/>
      <c r="K68" s="135">
        <f t="shared" si="11"/>
        <v>30</v>
      </c>
      <c r="L68" s="156" t="str">
        <f t="shared" si="12"/>
        <v>Hamoui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Boggs</v>
      </c>
      <c r="D69" s="178"/>
      <c r="E69" s="181"/>
      <c r="K69" s="135">
        <f t="shared" si="11"/>
        <v>30</v>
      </c>
      <c r="L69" s="156" t="str">
        <f t="shared" si="12"/>
        <v>Camden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Wiggs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Hamoui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Boggs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Camden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Wiggs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Hamoui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Boggs</v>
      </c>
      <c r="D73" s="178"/>
      <c r="E73" s="181"/>
      <c r="K73" s="129">
        <v>32.0</v>
      </c>
      <c r="L73" s="156" t="str">
        <f t="shared" si="12"/>
        <v>Camden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Wiggs</v>
      </c>
      <c r="D74" s="192"/>
      <c r="E74" s="181"/>
      <c r="K74" s="129">
        <v>33.0</v>
      </c>
      <c r="L74" s="156" t="str">
        <f t="shared" si="12"/>
        <v>Hamoui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Boggs</v>
      </c>
      <c r="D75" s="178"/>
      <c r="E75" s="181"/>
      <c r="K75" s="129">
        <v>33.0</v>
      </c>
      <c r="L75" s="156" t="str">
        <f t="shared" si="12"/>
        <v>Camden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Wiggs</v>
      </c>
      <c r="D76" s="178"/>
      <c r="E76" s="181"/>
      <c r="K76" s="129">
        <v>34.0</v>
      </c>
      <c r="L76" s="156" t="str">
        <f t="shared" si="12"/>
        <v>Hamoui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Boggs</v>
      </c>
      <c r="D77" s="178"/>
      <c r="E77" s="181"/>
      <c r="K77" s="129">
        <v>34.0</v>
      </c>
      <c r="L77" s="156" t="str">
        <f t="shared" si="12"/>
        <v>Camden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Wiggs</v>
      </c>
      <c r="D78" s="178"/>
      <c r="E78" s="181"/>
      <c r="K78" s="129">
        <v>35.0</v>
      </c>
      <c r="L78" s="156" t="str">
        <f t="shared" si="12"/>
        <v>Hamoui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Boggs</v>
      </c>
      <c r="D79" s="178"/>
      <c r="E79" s="181"/>
      <c r="K79" s="129">
        <v>35.0</v>
      </c>
      <c r="L79" s="156" t="str">
        <f t="shared" si="12"/>
        <v>Camden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Wiggs</v>
      </c>
      <c r="D80" s="178"/>
      <c r="E80" s="181"/>
      <c r="K80" s="129">
        <v>36.0</v>
      </c>
      <c r="L80" s="156" t="str">
        <f t="shared" si="12"/>
        <v>Hamoui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Boggs</v>
      </c>
      <c r="D81" s="178"/>
      <c r="E81" s="181"/>
      <c r="K81" s="129">
        <v>36.0</v>
      </c>
      <c r="L81" s="156" t="str">
        <f t="shared" si="12"/>
        <v>Camden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Wiggs</v>
      </c>
      <c r="D82" s="178"/>
      <c r="E82" s="181"/>
      <c r="K82" s="129">
        <v>37.0</v>
      </c>
      <c r="L82" s="156" t="str">
        <f t="shared" si="12"/>
        <v>Hamoui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Boggs</v>
      </c>
      <c r="D83" s="178"/>
      <c r="E83" s="181"/>
      <c r="K83" s="129">
        <v>37.0</v>
      </c>
      <c r="L83" s="156" t="str">
        <f t="shared" si="12"/>
        <v>Camden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Wiggs</v>
      </c>
      <c r="D84" s="178"/>
      <c r="E84" s="181"/>
      <c r="K84" s="129">
        <v>38.0</v>
      </c>
      <c r="L84" s="156" t="str">
        <f t="shared" si="12"/>
        <v>Hamoui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Boggs</v>
      </c>
      <c r="D85" s="178"/>
      <c r="E85" s="181"/>
      <c r="K85" s="129">
        <v>38.0</v>
      </c>
      <c r="L85" s="156" t="str">
        <f t="shared" si="12"/>
        <v>Camden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Wiggs</v>
      </c>
      <c r="D86" s="178"/>
      <c r="E86" s="181"/>
      <c r="K86" s="129">
        <v>39.0</v>
      </c>
      <c r="L86" s="156" t="str">
        <f t="shared" si="12"/>
        <v>Hamoui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Boggs</v>
      </c>
      <c r="D87" s="178"/>
      <c r="E87" s="181"/>
      <c r="K87" s="129">
        <v>39.0</v>
      </c>
      <c r="L87" s="156" t="str">
        <f t="shared" si="12"/>
        <v>Camden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Wiggs</v>
      </c>
      <c r="D88" s="178"/>
      <c r="E88" s="181"/>
      <c r="K88" s="129">
        <v>40.0</v>
      </c>
      <c r="L88" s="156" t="str">
        <f t="shared" si="12"/>
        <v>Hamoui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Boggs</v>
      </c>
      <c r="D89" s="178"/>
      <c r="E89" s="181"/>
      <c r="K89" s="129">
        <v>40.0</v>
      </c>
      <c r="L89" s="156" t="str">
        <f t="shared" si="12"/>
        <v>Camden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114</v>
      </c>
      <c r="D3" s="189">
        <f t="shared" ref="D3:J3" si="1">SUMPRODUCT(D10:D90,MOD(ROW(D10:D90),2)=0)</f>
        <v>16</v>
      </c>
      <c r="E3" s="189">
        <f t="shared" si="1"/>
        <v>3</v>
      </c>
      <c r="F3" s="189">
        <f t="shared" si="1"/>
        <v>0</v>
      </c>
      <c r="G3" s="189">
        <f t="shared" si="1"/>
        <v>3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132</v>
      </c>
      <c r="M3" s="189">
        <f t="shared" ref="M3:S3" si="2">SUMPRODUCT(M10:M90,MOD(ROW(M10:M90),2)=0)</f>
        <v>14</v>
      </c>
      <c r="N3" s="189">
        <f t="shared" si="2"/>
        <v>3</v>
      </c>
      <c r="O3" s="189">
        <f t="shared" si="2"/>
        <v>0</v>
      </c>
      <c r="P3" s="189">
        <f t="shared" si="2"/>
        <v>0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103</v>
      </c>
      <c r="D4" s="191">
        <f t="shared" ref="D4:J4" si="3">SUMPRODUCT(D10:D90,MOD(ROW(D10:D90),2))</f>
        <v>12</v>
      </c>
      <c r="E4" s="191">
        <f t="shared" si="3"/>
        <v>7</v>
      </c>
      <c r="F4" s="191">
        <f t="shared" si="3"/>
        <v>0</v>
      </c>
      <c r="G4" s="191">
        <f t="shared" si="3"/>
        <v>1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131</v>
      </c>
      <c r="M4" s="191">
        <f t="shared" ref="M4:S4" si="4">SUMPRODUCT(M10:M90,MOD(ROW(M10:M90),2))</f>
        <v>14</v>
      </c>
      <c r="N4" s="191">
        <f t="shared" si="4"/>
        <v>3</v>
      </c>
      <c r="O4" s="191">
        <f t="shared" si="4"/>
        <v>0</v>
      </c>
      <c r="P4" s="191">
        <f t="shared" si="4"/>
        <v>2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Montero %</v>
      </c>
      <c r="D5" s="137">
        <f t="shared" ref="D5:D6" si="6">IFERROR((E3/(E3+D3)),0)</f>
        <v>0.1578947368</v>
      </c>
      <c r="K5" s="135"/>
      <c r="L5" s="136" t="str">
        <f t="shared" ref="L5:L6" si="7">IFERROR((L10 &amp;" %"), "")</f>
        <v> Curtis %</v>
      </c>
      <c r="M5" s="137">
        <f t="shared" ref="M5:M6" si="8">IFERROR((N3/(N3+M3)),0)</f>
        <v>0.1764705882</v>
      </c>
      <c r="S5" s="132"/>
      <c r="T5" s="132"/>
      <c r="U5" s="7"/>
    </row>
    <row r="6">
      <c r="A6" s="14"/>
      <c r="B6" s="138"/>
      <c r="C6" s="139" t="str">
        <f t="shared" si="5"/>
        <v> Bonnstetter %</v>
      </c>
      <c r="D6" s="140">
        <f t="shared" si="6"/>
        <v>0.3684210526</v>
      </c>
      <c r="E6" s="141"/>
      <c r="F6" s="141"/>
      <c r="G6" s="141"/>
      <c r="H6" s="141"/>
      <c r="I6" s="141"/>
      <c r="J6" s="141"/>
      <c r="K6" s="138"/>
      <c r="L6" s="139" t="str">
        <f t="shared" si="7"/>
        <v> Ronilo %</v>
      </c>
      <c r="M6" s="142">
        <f t="shared" si="8"/>
        <v>0.1764705882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Montero")</f>
        <v> Montero</v>
      </c>
      <c r="D10" s="197"/>
      <c r="E10" s="198">
        <v>1.0</v>
      </c>
      <c r="F10" s="199"/>
      <c r="G10" s="199"/>
      <c r="H10" s="177"/>
      <c r="I10" s="177"/>
      <c r="K10" s="129">
        <v>1.0</v>
      </c>
      <c r="L10" s="136" t="str">
        <f>IFERROR(__xludf.DUMMYFUNCTION("REGEXEXTRACT(L3, ""( .*)+"")")," Curtis")</f>
        <v> Curtis</v>
      </c>
      <c r="M10" s="200">
        <v>1.0</v>
      </c>
      <c r="N10" s="201"/>
      <c r="O10" s="177"/>
      <c r="P10" s="199"/>
      <c r="Q10" s="177"/>
      <c r="R10" s="177"/>
      <c r="T10" s="132"/>
      <c r="U10" s="7"/>
    </row>
    <row r="11">
      <c r="A11" s="8"/>
      <c r="B11" s="129">
        <v>1.0</v>
      </c>
      <c r="C11" s="136" t="str">
        <f>IFERROR(__xludf.DUMMYFUNCTION("REGEXEXTRACT(C4, ""( .*)+"")")," Bonnstetter")</f>
        <v> Bonnstetter</v>
      </c>
      <c r="D11" s="202">
        <v>1.0</v>
      </c>
      <c r="E11" s="203"/>
      <c r="F11" s="177"/>
      <c r="G11" s="177"/>
      <c r="H11" s="177"/>
      <c r="I11" s="177"/>
      <c r="K11" s="129">
        <v>1.0</v>
      </c>
      <c r="L11" s="136" t="str">
        <f>IFERROR(__xludf.DUMMYFUNCTION("REGEXEXTRACT(L4, ""( .*)+"")")," Ronilo")</f>
        <v> Ronilo</v>
      </c>
      <c r="M11" s="202">
        <v>1.0</v>
      </c>
      <c r="N11" s="203"/>
      <c r="O11" s="177"/>
      <c r="P11" s="177"/>
      <c r="Q11" s="177"/>
      <c r="R11" s="177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Montero</v>
      </c>
      <c r="D12" s="208"/>
      <c r="E12" s="207">
        <v>1.0</v>
      </c>
      <c r="F12" s="177"/>
      <c r="G12" s="177"/>
      <c r="H12" s="177"/>
      <c r="I12" s="177"/>
      <c r="K12" s="129">
        <f t="shared" ref="K12:K69" si="11">K10+1</f>
        <v>2</v>
      </c>
      <c r="L12" s="156" t="str">
        <f t="shared" ref="L12:L89" si="12">L10</f>
        <v> Curtis</v>
      </c>
      <c r="M12" s="200">
        <v>1.0</v>
      </c>
      <c r="N12" s="201"/>
      <c r="O12" s="177"/>
      <c r="P12" s="177"/>
      <c r="Q12" s="177"/>
      <c r="R12" s="177"/>
      <c r="T12" s="132"/>
      <c r="U12" s="7"/>
    </row>
    <row r="13">
      <c r="A13" s="14"/>
      <c r="B13" s="135">
        <f t="shared" si="9"/>
        <v>2</v>
      </c>
      <c r="C13" s="156" t="str">
        <f t="shared" si="10"/>
        <v> Bonnstetter</v>
      </c>
      <c r="D13" s="197"/>
      <c r="E13" s="198">
        <v>1.0</v>
      </c>
      <c r="F13" s="177"/>
      <c r="G13" s="191"/>
      <c r="H13" s="177"/>
      <c r="I13" s="177"/>
      <c r="K13" s="135">
        <f t="shared" si="11"/>
        <v>2</v>
      </c>
      <c r="L13" s="156" t="str">
        <f t="shared" si="12"/>
        <v> Ronilo</v>
      </c>
      <c r="M13" s="202">
        <v>1.0</v>
      </c>
      <c r="N13" s="188"/>
      <c r="O13" s="177"/>
      <c r="P13" s="177"/>
      <c r="Q13" s="177"/>
      <c r="R13" s="177"/>
      <c r="T13" s="132"/>
      <c r="U13" s="7"/>
    </row>
    <row r="14">
      <c r="A14" s="8"/>
      <c r="B14" s="129">
        <f t="shared" si="9"/>
        <v>3</v>
      </c>
      <c r="C14" s="156" t="str">
        <f t="shared" si="10"/>
        <v> Montero</v>
      </c>
      <c r="D14" s="202">
        <v>1.0</v>
      </c>
      <c r="E14" s="203"/>
      <c r="F14" s="177"/>
      <c r="G14" s="177"/>
      <c r="H14" s="177"/>
      <c r="I14" s="177"/>
      <c r="K14" s="129">
        <f t="shared" si="11"/>
        <v>3</v>
      </c>
      <c r="L14" s="156" t="str">
        <f t="shared" si="12"/>
        <v> Curtis</v>
      </c>
      <c r="M14" s="208"/>
      <c r="N14" s="207">
        <v>1.0</v>
      </c>
      <c r="O14" s="177"/>
      <c r="P14" s="177"/>
      <c r="Q14" s="177"/>
      <c r="R14" s="177"/>
      <c r="T14" s="132"/>
      <c r="U14" s="7"/>
    </row>
    <row r="15">
      <c r="A15" s="14"/>
      <c r="B15" s="135">
        <f t="shared" si="9"/>
        <v>3</v>
      </c>
      <c r="C15" s="156" t="str">
        <f t="shared" si="10"/>
        <v> Bonnstetter</v>
      </c>
      <c r="D15" s="200">
        <v>1.0</v>
      </c>
      <c r="E15" s="201"/>
      <c r="F15" s="177"/>
      <c r="G15" s="177"/>
      <c r="H15" s="177"/>
      <c r="I15" s="177"/>
      <c r="K15" s="135">
        <f t="shared" si="11"/>
        <v>3</v>
      </c>
      <c r="L15" s="156" t="str">
        <f t="shared" si="12"/>
        <v> Ronilo</v>
      </c>
      <c r="M15" s="197"/>
      <c r="N15" s="198">
        <v>1.0</v>
      </c>
      <c r="O15" s="177"/>
      <c r="P15" s="177"/>
      <c r="Q15" s="177"/>
      <c r="R15" s="177"/>
      <c r="T15" s="132"/>
      <c r="U15" s="7"/>
    </row>
    <row r="16">
      <c r="A16" s="8"/>
      <c r="B16" s="129">
        <f t="shared" si="9"/>
        <v>4</v>
      </c>
      <c r="C16" s="156" t="str">
        <f t="shared" si="10"/>
        <v> Montero</v>
      </c>
      <c r="D16" s="200">
        <v>1.0</v>
      </c>
      <c r="E16" s="205"/>
      <c r="F16" s="177"/>
      <c r="G16" s="177"/>
      <c r="H16" s="177"/>
      <c r="I16" s="177"/>
      <c r="K16" s="129">
        <f t="shared" si="11"/>
        <v>4</v>
      </c>
      <c r="L16" s="156" t="str">
        <f t="shared" si="12"/>
        <v> Curtis</v>
      </c>
      <c r="M16" s="200">
        <v>1.0</v>
      </c>
      <c r="N16" s="205"/>
      <c r="O16" s="177"/>
      <c r="P16" s="177"/>
      <c r="Q16" s="177"/>
      <c r="R16" s="177"/>
      <c r="T16" s="132"/>
      <c r="U16" s="7"/>
    </row>
    <row r="17">
      <c r="A17" s="14"/>
      <c r="B17" s="135">
        <f t="shared" si="9"/>
        <v>4</v>
      </c>
      <c r="C17" s="156" t="str">
        <f t="shared" si="10"/>
        <v> Bonnstetter</v>
      </c>
      <c r="D17" s="200"/>
      <c r="E17" s="198">
        <v>1.0</v>
      </c>
      <c r="F17" s="177"/>
      <c r="G17" s="177"/>
      <c r="H17" s="177"/>
      <c r="I17" s="177"/>
      <c r="K17" s="135">
        <f t="shared" si="11"/>
        <v>4</v>
      </c>
      <c r="L17" s="156" t="str">
        <f t="shared" si="12"/>
        <v> Ronilo</v>
      </c>
      <c r="M17" s="202">
        <v>1.0</v>
      </c>
      <c r="N17" s="203"/>
      <c r="O17" s="177"/>
      <c r="P17" s="177"/>
      <c r="Q17" s="177"/>
      <c r="R17" s="177"/>
      <c r="T17" s="132"/>
      <c r="U17" s="7"/>
    </row>
    <row r="18">
      <c r="A18" s="8"/>
      <c r="B18" s="129">
        <f t="shared" si="9"/>
        <v>5</v>
      </c>
      <c r="C18" s="156" t="str">
        <f t="shared" si="10"/>
        <v> Montero</v>
      </c>
      <c r="D18" s="200">
        <v>1.0</v>
      </c>
      <c r="E18" s="201"/>
      <c r="F18" s="177"/>
      <c r="G18" s="191"/>
      <c r="H18" s="177"/>
      <c r="I18" s="177"/>
      <c r="K18" s="129">
        <f t="shared" si="11"/>
        <v>5</v>
      </c>
      <c r="L18" s="156" t="str">
        <f t="shared" si="12"/>
        <v> Curtis</v>
      </c>
      <c r="M18" s="197"/>
      <c r="N18" s="198">
        <v>1.0</v>
      </c>
      <c r="O18" s="177"/>
      <c r="P18" s="177"/>
      <c r="Q18" s="177"/>
      <c r="R18" s="177"/>
      <c r="T18" s="132"/>
      <c r="U18" s="7"/>
    </row>
    <row r="19">
      <c r="A19" s="14"/>
      <c r="B19" s="135">
        <f t="shared" si="9"/>
        <v>5</v>
      </c>
      <c r="C19" s="156" t="str">
        <f t="shared" si="10"/>
        <v> Bonnstetter</v>
      </c>
      <c r="D19" s="197"/>
      <c r="E19" s="198">
        <v>1.0</v>
      </c>
      <c r="F19" s="177"/>
      <c r="G19" s="177"/>
      <c r="H19" s="177"/>
      <c r="I19" s="177"/>
      <c r="K19" s="135">
        <f t="shared" si="11"/>
        <v>5</v>
      </c>
      <c r="L19" s="156" t="str">
        <f t="shared" si="12"/>
        <v> Ronilo</v>
      </c>
      <c r="M19" s="202">
        <v>1.0</v>
      </c>
      <c r="N19" s="203"/>
      <c r="O19" s="177"/>
      <c r="P19" s="177"/>
      <c r="Q19" s="177"/>
      <c r="R19" s="177"/>
      <c r="T19" s="132"/>
      <c r="U19" s="7"/>
    </row>
    <row r="20">
      <c r="A20" s="8"/>
      <c r="B20" s="129">
        <f t="shared" si="9"/>
        <v>6</v>
      </c>
      <c r="C20" s="156" t="str">
        <f t="shared" si="10"/>
        <v> Montero</v>
      </c>
      <c r="D20" s="187"/>
      <c r="E20" s="198">
        <v>1.0</v>
      </c>
      <c r="F20" s="177"/>
      <c r="G20" s="177"/>
      <c r="H20" s="177"/>
      <c r="I20" s="177"/>
      <c r="K20" s="129">
        <f t="shared" si="11"/>
        <v>6</v>
      </c>
      <c r="L20" s="156" t="str">
        <f t="shared" si="12"/>
        <v> Curtis</v>
      </c>
      <c r="M20" s="200">
        <v>1.0</v>
      </c>
      <c r="N20" s="205"/>
      <c r="O20" s="177"/>
      <c r="P20" s="177"/>
      <c r="Q20" s="177"/>
      <c r="R20" s="177"/>
      <c r="T20" s="132"/>
      <c r="U20" s="7"/>
    </row>
    <row r="21">
      <c r="A21" s="14"/>
      <c r="B21" s="135">
        <f t="shared" si="9"/>
        <v>6</v>
      </c>
      <c r="C21" s="156" t="str">
        <f t="shared" si="10"/>
        <v> Bonnstetter</v>
      </c>
      <c r="D21" s="197"/>
      <c r="E21" s="198">
        <v>1.0</v>
      </c>
      <c r="F21" s="177"/>
      <c r="G21" s="177"/>
      <c r="H21" s="177"/>
      <c r="I21" s="177"/>
      <c r="K21" s="135">
        <f t="shared" si="11"/>
        <v>6</v>
      </c>
      <c r="L21" s="156" t="str">
        <f t="shared" si="12"/>
        <v> Ronilo</v>
      </c>
      <c r="M21" s="200">
        <v>1.0</v>
      </c>
      <c r="N21" s="205"/>
      <c r="O21" s="177"/>
      <c r="P21" s="177"/>
      <c r="Q21" s="177"/>
      <c r="R21" s="177"/>
      <c r="T21" s="132"/>
      <c r="U21" s="7"/>
    </row>
    <row r="22">
      <c r="A22" s="8"/>
      <c r="B22" s="129">
        <f t="shared" si="9"/>
        <v>7</v>
      </c>
      <c r="C22" s="156" t="str">
        <f t="shared" si="10"/>
        <v> Montero</v>
      </c>
      <c r="D22" s="202">
        <v>1.0</v>
      </c>
      <c r="E22" s="188"/>
      <c r="F22" s="177"/>
      <c r="G22" s="177"/>
      <c r="H22" s="177"/>
      <c r="I22" s="177"/>
      <c r="K22" s="129">
        <f t="shared" si="11"/>
        <v>7</v>
      </c>
      <c r="L22" s="156" t="str">
        <f t="shared" si="12"/>
        <v> Curtis</v>
      </c>
      <c r="M22" s="200">
        <v>1.0</v>
      </c>
      <c r="N22" s="205"/>
      <c r="O22" s="177"/>
      <c r="P22" s="177"/>
      <c r="Q22" s="177"/>
      <c r="R22" s="177"/>
      <c r="T22" s="132"/>
      <c r="U22" s="7"/>
    </row>
    <row r="23">
      <c r="A23" s="14"/>
      <c r="B23" s="135">
        <f t="shared" si="9"/>
        <v>7</v>
      </c>
      <c r="C23" s="156" t="str">
        <f t="shared" si="10"/>
        <v> Bonnstetter</v>
      </c>
      <c r="D23" s="200">
        <v>1.0</v>
      </c>
      <c r="E23" s="205"/>
      <c r="F23" s="177"/>
      <c r="G23" s="177"/>
      <c r="H23" s="177"/>
      <c r="I23" s="177"/>
      <c r="K23" s="135">
        <f t="shared" si="11"/>
        <v>7</v>
      </c>
      <c r="L23" s="156" t="str">
        <f t="shared" si="12"/>
        <v> Ronilo</v>
      </c>
      <c r="M23" s="200">
        <v>1.0</v>
      </c>
      <c r="N23" s="205"/>
      <c r="O23" s="177"/>
      <c r="P23" s="177"/>
      <c r="Q23" s="177"/>
      <c r="R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 Montero</v>
      </c>
      <c r="D24" s="200">
        <v>1.0</v>
      </c>
      <c r="E24" s="205"/>
      <c r="F24" s="177"/>
      <c r="G24" s="177"/>
      <c r="H24" s="177"/>
      <c r="I24" s="177"/>
      <c r="K24" s="129">
        <f t="shared" si="11"/>
        <v>8</v>
      </c>
      <c r="L24" s="156" t="str">
        <f t="shared" si="12"/>
        <v> Curtis</v>
      </c>
      <c r="M24" s="202">
        <v>1.0</v>
      </c>
      <c r="N24" s="188"/>
      <c r="O24" s="177"/>
      <c r="P24" s="177"/>
      <c r="Q24" s="177"/>
      <c r="R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 Bonnstetter</v>
      </c>
      <c r="D25" s="202">
        <v>1.0</v>
      </c>
      <c r="E25" s="188"/>
      <c r="F25" s="177"/>
      <c r="G25" s="177"/>
      <c r="H25" s="177"/>
      <c r="I25" s="177"/>
      <c r="K25" s="135">
        <f t="shared" si="11"/>
        <v>8</v>
      </c>
      <c r="L25" s="156" t="str">
        <f t="shared" si="12"/>
        <v> Ronilo</v>
      </c>
      <c r="M25" s="202">
        <v>1.0</v>
      </c>
      <c r="N25" s="203"/>
      <c r="O25" s="177"/>
      <c r="P25" s="177"/>
      <c r="Q25" s="177"/>
      <c r="R25" s="177"/>
      <c r="T25" s="132"/>
      <c r="U25" s="7"/>
    </row>
    <row r="26">
      <c r="A26" s="8"/>
      <c r="B26" s="129">
        <f t="shared" si="9"/>
        <v>9</v>
      </c>
      <c r="C26" s="156" t="str">
        <f t="shared" si="10"/>
        <v> Montero</v>
      </c>
      <c r="D26" s="202">
        <v>1.0</v>
      </c>
      <c r="E26" s="188"/>
      <c r="F26" s="177"/>
      <c r="G26" s="177"/>
      <c r="H26" s="177"/>
      <c r="I26" s="177"/>
      <c r="K26" s="129">
        <f t="shared" si="11"/>
        <v>9</v>
      </c>
      <c r="L26" s="156" t="str">
        <f t="shared" si="12"/>
        <v> Curtis</v>
      </c>
      <c r="M26" s="200">
        <v>1.0</v>
      </c>
      <c r="N26" s="205"/>
      <c r="O26" s="177"/>
      <c r="P26" s="177"/>
      <c r="Q26" s="177"/>
      <c r="R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 Bonnstetter</v>
      </c>
      <c r="D27" s="208"/>
      <c r="E27" s="207">
        <v>1.0</v>
      </c>
      <c r="F27" s="177"/>
      <c r="G27" s="177"/>
      <c r="H27" s="177"/>
      <c r="I27" s="177"/>
      <c r="K27" s="135">
        <f t="shared" si="11"/>
        <v>9</v>
      </c>
      <c r="L27" s="156" t="str">
        <f t="shared" si="12"/>
        <v> Ronilo</v>
      </c>
      <c r="M27" s="200">
        <v>1.0</v>
      </c>
      <c r="N27" s="205"/>
      <c r="O27" s="177"/>
      <c r="P27" s="177"/>
      <c r="Q27" s="177"/>
      <c r="R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 Montero</v>
      </c>
      <c r="D28" s="200">
        <v>1.0</v>
      </c>
      <c r="E28" s="205"/>
      <c r="F28" s="177"/>
      <c r="G28" s="191"/>
      <c r="H28" s="177"/>
      <c r="I28" s="177"/>
      <c r="K28" s="129">
        <f t="shared" si="11"/>
        <v>10</v>
      </c>
      <c r="L28" s="156" t="str">
        <f t="shared" si="12"/>
        <v> Curtis</v>
      </c>
      <c r="M28" s="200">
        <v>1.0</v>
      </c>
      <c r="N28" s="205"/>
      <c r="O28" s="177"/>
      <c r="P28" s="177"/>
      <c r="Q28" s="177"/>
      <c r="R28" s="177"/>
      <c r="T28" s="132"/>
      <c r="U28" s="7"/>
    </row>
    <row r="29">
      <c r="A29" s="14"/>
      <c r="B29" s="135">
        <f t="shared" si="9"/>
        <v>10</v>
      </c>
      <c r="C29" s="156" t="str">
        <f t="shared" si="10"/>
        <v> Bonnstetter</v>
      </c>
      <c r="D29" s="200">
        <v>1.0</v>
      </c>
      <c r="E29" s="205"/>
      <c r="F29" s="177"/>
      <c r="G29" s="177"/>
      <c r="H29" s="177"/>
      <c r="I29" s="177"/>
      <c r="K29" s="135">
        <f t="shared" si="11"/>
        <v>10</v>
      </c>
      <c r="L29" s="156" t="str">
        <f t="shared" si="12"/>
        <v> Ronilo</v>
      </c>
      <c r="M29" s="200">
        <v>1.0</v>
      </c>
      <c r="N29" s="205"/>
      <c r="O29" s="177"/>
      <c r="P29" s="177"/>
      <c r="Q29" s="177"/>
      <c r="R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 Montero</v>
      </c>
      <c r="D30" s="200">
        <v>1.0</v>
      </c>
      <c r="E30" s="205"/>
      <c r="F30" s="177"/>
      <c r="G30" s="177"/>
      <c r="H30" s="177"/>
      <c r="I30" s="177"/>
      <c r="K30" s="129">
        <f t="shared" si="11"/>
        <v>11</v>
      </c>
      <c r="L30" s="156" t="str">
        <f t="shared" si="12"/>
        <v> Curtis</v>
      </c>
      <c r="M30" s="197"/>
      <c r="N30" s="198">
        <v>1.0</v>
      </c>
      <c r="O30" s="177"/>
      <c r="P30" s="177"/>
      <c r="Q30" s="177"/>
      <c r="R30" s="177"/>
      <c r="T30" s="132"/>
      <c r="U30" s="7"/>
    </row>
    <row r="31">
      <c r="A31" s="14"/>
      <c r="B31" s="135">
        <f t="shared" si="9"/>
        <v>11</v>
      </c>
      <c r="C31" s="156" t="str">
        <f t="shared" si="10"/>
        <v> Bonnstetter</v>
      </c>
      <c r="D31" s="197"/>
      <c r="E31" s="198">
        <v>1.0</v>
      </c>
      <c r="F31" s="177"/>
      <c r="G31" s="177"/>
      <c r="H31" s="177"/>
      <c r="I31" s="177"/>
      <c r="K31" s="135">
        <f t="shared" si="11"/>
        <v>11</v>
      </c>
      <c r="L31" s="156" t="str">
        <f t="shared" si="12"/>
        <v> Ronilo</v>
      </c>
      <c r="M31" s="202">
        <v>1.0</v>
      </c>
      <c r="N31" s="203"/>
      <c r="O31" s="177"/>
      <c r="P31" s="177"/>
      <c r="Q31" s="177"/>
      <c r="R31" s="177"/>
      <c r="T31" s="132"/>
      <c r="U31" s="7"/>
    </row>
    <row r="32">
      <c r="A32" s="8"/>
      <c r="B32" s="129">
        <f t="shared" si="9"/>
        <v>12</v>
      </c>
      <c r="C32" s="156" t="str">
        <f t="shared" si="10"/>
        <v> Montero</v>
      </c>
      <c r="D32" s="200">
        <v>1.0</v>
      </c>
      <c r="E32" s="205"/>
      <c r="F32" s="177"/>
      <c r="G32" s="127">
        <v>1.0</v>
      </c>
      <c r="H32" s="177"/>
      <c r="I32" s="177"/>
      <c r="K32" s="129">
        <f t="shared" si="11"/>
        <v>12</v>
      </c>
      <c r="L32" s="156" t="str">
        <f t="shared" si="12"/>
        <v> Curtis</v>
      </c>
      <c r="M32" s="200">
        <v>1.0</v>
      </c>
      <c r="N32" s="205"/>
      <c r="O32" s="177"/>
      <c r="P32" s="177"/>
      <c r="Q32" s="177"/>
      <c r="R32" s="177"/>
      <c r="T32" s="132"/>
      <c r="U32" s="7"/>
    </row>
    <row r="33">
      <c r="A33" s="14"/>
      <c r="B33" s="135">
        <f t="shared" si="9"/>
        <v>12</v>
      </c>
      <c r="C33" s="156" t="str">
        <f t="shared" si="10"/>
        <v> Bonnstetter</v>
      </c>
      <c r="D33" s="200">
        <v>1.0</v>
      </c>
      <c r="E33" s="205"/>
      <c r="F33" s="177"/>
      <c r="G33" s="177"/>
      <c r="H33" s="177"/>
      <c r="I33" s="177"/>
      <c r="K33" s="135">
        <f t="shared" si="11"/>
        <v>12</v>
      </c>
      <c r="L33" s="156" t="str">
        <f t="shared" si="12"/>
        <v> Ronilo</v>
      </c>
      <c r="M33" s="187"/>
      <c r="N33" s="198">
        <v>1.0</v>
      </c>
      <c r="O33" s="177"/>
      <c r="P33" s="177"/>
      <c r="Q33" s="177"/>
      <c r="R33" s="177"/>
      <c r="T33" s="132"/>
      <c r="U33" s="7"/>
    </row>
    <row r="34">
      <c r="A34" s="8"/>
      <c r="B34" s="129">
        <f t="shared" si="9"/>
        <v>13</v>
      </c>
      <c r="C34" s="156" t="str">
        <f t="shared" si="10"/>
        <v> Montero</v>
      </c>
      <c r="D34" s="200">
        <v>1.0</v>
      </c>
      <c r="E34" s="205"/>
      <c r="F34" s="177"/>
      <c r="G34" s="177"/>
      <c r="H34" s="177"/>
      <c r="I34" s="177"/>
      <c r="K34" s="129">
        <f t="shared" si="11"/>
        <v>13</v>
      </c>
      <c r="L34" s="156" t="str">
        <f t="shared" si="12"/>
        <v> Curtis</v>
      </c>
      <c r="M34" s="202">
        <v>1.0</v>
      </c>
      <c r="N34" s="188"/>
      <c r="O34" s="177"/>
      <c r="P34" s="177"/>
      <c r="Q34" s="177"/>
      <c r="R34" s="177"/>
      <c r="T34" s="132"/>
      <c r="U34" s="7"/>
    </row>
    <row r="35">
      <c r="A35" s="14"/>
      <c r="B35" s="135">
        <f t="shared" si="9"/>
        <v>13</v>
      </c>
      <c r="C35" s="156" t="str">
        <f t="shared" si="10"/>
        <v> Bonnstetter</v>
      </c>
      <c r="D35" s="202">
        <v>1.0</v>
      </c>
      <c r="E35" s="188"/>
      <c r="F35" s="177"/>
      <c r="G35" s="177"/>
      <c r="H35" s="177"/>
      <c r="I35" s="177"/>
      <c r="K35" s="135">
        <f t="shared" si="11"/>
        <v>13</v>
      </c>
      <c r="L35" s="156" t="str">
        <f t="shared" si="12"/>
        <v> Ronilo</v>
      </c>
      <c r="M35" s="200">
        <v>1.0</v>
      </c>
      <c r="N35" s="205"/>
      <c r="O35" s="177"/>
      <c r="P35" s="127">
        <v>1.0</v>
      </c>
      <c r="Q35" s="177"/>
      <c r="R35" s="177"/>
      <c r="T35" s="132"/>
      <c r="U35" s="7"/>
    </row>
    <row r="36">
      <c r="A36" s="8"/>
      <c r="B36" s="129">
        <f t="shared" si="9"/>
        <v>14</v>
      </c>
      <c r="C36" s="156" t="str">
        <f t="shared" si="10"/>
        <v> Montero</v>
      </c>
      <c r="D36" s="202">
        <v>1.0</v>
      </c>
      <c r="E36" s="205"/>
      <c r="F36" s="177"/>
      <c r="G36" s="177"/>
      <c r="H36" s="177"/>
      <c r="I36" s="177"/>
      <c r="K36" s="129">
        <f t="shared" si="11"/>
        <v>14</v>
      </c>
      <c r="L36" s="156" t="str">
        <f t="shared" si="12"/>
        <v> Curtis</v>
      </c>
      <c r="M36" s="202">
        <v>1.0</v>
      </c>
      <c r="N36" s="205"/>
      <c r="O36" s="177"/>
      <c r="P36" s="177"/>
      <c r="Q36" s="177"/>
      <c r="R36" s="177"/>
      <c r="T36" s="132"/>
      <c r="U36" s="7"/>
    </row>
    <row r="37">
      <c r="A37" s="14"/>
      <c r="B37" s="135">
        <f t="shared" si="9"/>
        <v>14</v>
      </c>
      <c r="C37" s="156" t="str">
        <f t="shared" si="10"/>
        <v> Bonnstetter</v>
      </c>
      <c r="D37" s="202">
        <v>1.0</v>
      </c>
      <c r="E37" s="188"/>
      <c r="F37" s="177"/>
      <c r="G37" s="177"/>
      <c r="H37" s="177"/>
      <c r="I37" s="177"/>
      <c r="K37" s="135">
        <f t="shared" si="11"/>
        <v>14</v>
      </c>
      <c r="L37" s="156" t="str">
        <f t="shared" si="12"/>
        <v> Ronilo</v>
      </c>
      <c r="M37" s="202"/>
      <c r="N37" s="207">
        <v>1.0</v>
      </c>
      <c r="O37" s="177"/>
      <c r="P37" s="177"/>
      <c r="Q37" s="177"/>
      <c r="R37" s="177"/>
      <c r="T37" s="132"/>
      <c r="U37" s="7"/>
    </row>
    <row r="38">
      <c r="A38" s="8"/>
      <c r="B38" s="129">
        <f t="shared" si="9"/>
        <v>15</v>
      </c>
      <c r="C38" s="156" t="str">
        <f t="shared" si="10"/>
        <v> Montero</v>
      </c>
      <c r="D38" s="202">
        <v>1.0</v>
      </c>
      <c r="E38" s="205"/>
      <c r="F38" s="177"/>
      <c r="G38" s="177"/>
      <c r="H38" s="177"/>
      <c r="I38" s="177"/>
      <c r="K38" s="129">
        <f t="shared" si="11"/>
        <v>15</v>
      </c>
      <c r="L38" s="156" t="str">
        <f t="shared" si="12"/>
        <v> Curtis</v>
      </c>
      <c r="M38" s="202">
        <v>1.0</v>
      </c>
      <c r="N38" s="205"/>
      <c r="O38" s="177"/>
      <c r="P38" s="177"/>
      <c r="Q38" s="177"/>
      <c r="R38" s="177"/>
      <c r="T38" s="132"/>
      <c r="U38" s="7"/>
    </row>
    <row r="39">
      <c r="A39" s="14"/>
      <c r="B39" s="135">
        <f t="shared" si="9"/>
        <v>15</v>
      </c>
      <c r="C39" s="156" t="str">
        <f t="shared" si="10"/>
        <v> Bonnstetter</v>
      </c>
      <c r="D39" s="200">
        <v>1.0</v>
      </c>
      <c r="E39" s="205"/>
      <c r="F39" s="177"/>
      <c r="G39" s="177"/>
      <c r="H39" s="177"/>
      <c r="I39" s="177"/>
      <c r="K39" s="135">
        <f t="shared" si="11"/>
        <v>15</v>
      </c>
      <c r="L39" s="156" t="str">
        <f t="shared" si="12"/>
        <v> Ronilo</v>
      </c>
      <c r="M39" s="202">
        <v>1.0</v>
      </c>
      <c r="N39" s="205"/>
      <c r="O39" s="177"/>
      <c r="P39" s="127">
        <v>1.0</v>
      </c>
      <c r="Q39" s="177"/>
      <c r="R39" s="177"/>
      <c r="T39" s="132"/>
      <c r="U39" s="7"/>
    </row>
    <row r="40">
      <c r="A40" s="8"/>
      <c r="B40" s="129">
        <f t="shared" si="9"/>
        <v>16</v>
      </c>
      <c r="C40" s="156" t="str">
        <f t="shared" si="10"/>
        <v> Montero</v>
      </c>
      <c r="D40" s="180">
        <v>1.0</v>
      </c>
      <c r="E40" s="179"/>
      <c r="F40" s="177"/>
      <c r="G40" s="177"/>
      <c r="H40" s="177"/>
      <c r="I40" s="177"/>
      <c r="K40" s="129">
        <f t="shared" si="11"/>
        <v>16</v>
      </c>
      <c r="L40" s="156" t="str">
        <f t="shared" si="12"/>
        <v> Curtis</v>
      </c>
      <c r="M40" s="202">
        <v>1.0</v>
      </c>
      <c r="N40" s="205"/>
      <c r="O40" s="177"/>
      <c r="P40" s="177"/>
      <c r="Q40" s="177"/>
      <c r="R40" s="177"/>
      <c r="T40" s="132"/>
      <c r="U40" s="7"/>
    </row>
    <row r="41">
      <c r="A41" s="14"/>
      <c r="B41" s="135">
        <f t="shared" si="9"/>
        <v>16</v>
      </c>
      <c r="C41" s="156" t="str">
        <f t="shared" si="10"/>
        <v> Bonnstetter</v>
      </c>
      <c r="D41" s="180">
        <v>1.0</v>
      </c>
      <c r="E41" s="181"/>
      <c r="F41" s="177"/>
      <c r="G41" s="177"/>
      <c r="H41" s="177"/>
      <c r="I41" s="177"/>
      <c r="K41" s="135">
        <f t="shared" si="11"/>
        <v>16</v>
      </c>
      <c r="L41" s="156" t="str">
        <f t="shared" si="12"/>
        <v> Ronilo</v>
      </c>
      <c r="M41" s="202">
        <v>1.0</v>
      </c>
      <c r="N41" s="201"/>
      <c r="O41" s="177"/>
      <c r="P41" s="177"/>
      <c r="Q41" s="177"/>
      <c r="R41" s="177"/>
      <c r="T41" s="132"/>
      <c r="U41" s="7"/>
    </row>
    <row r="42">
      <c r="A42" s="8"/>
      <c r="B42" s="129">
        <f t="shared" si="9"/>
        <v>17</v>
      </c>
      <c r="C42" s="156" t="str">
        <f t="shared" si="10"/>
        <v> Montero</v>
      </c>
      <c r="D42" s="180">
        <v>1.0</v>
      </c>
      <c r="E42" s="181"/>
      <c r="F42" s="177"/>
      <c r="G42" s="177"/>
      <c r="H42" s="177"/>
      <c r="I42" s="177"/>
      <c r="K42" s="129">
        <f t="shared" si="11"/>
        <v>17</v>
      </c>
      <c r="L42" s="156" t="str">
        <f t="shared" si="12"/>
        <v> Curtis</v>
      </c>
      <c r="M42" s="202">
        <v>1.0</v>
      </c>
      <c r="N42" s="205"/>
      <c r="O42" s="177"/>
      <c r="P42" s="177"/>
      <c r="Q42" s="177"/>
      <c r="R42" s="177"/>
      <c r="T42" s="132"/>
      <c r="U42" s="7"/>
    </row>
    <row r="43">
      <c r="A43" s="14"/>
      <c r="B43" s="135">
        <f t="shared" si="9"/>
        <v>17</v>
      </c>
      <c r="C43" s="156" t="str">
        <f t="shared" si="10"/>
        <v> Bonnstetter</v>
      </c>
      <c r="D43" s="180">
        <v>1.0</v>
      </c>
      <c r="E43" s="179"/>
      <c r="F43" s="177"/>
      <c r="G43" s="127">
        <v>1.0</v>
      </c>
      <c r="H43" s="177"/>
      <c r="I43" s="177"/>
      <c r="K43" s="135">
        <f t="shared" si="11"/>
        <v>17</v>
      </c>
      <c r="L43" s="156" t="str">
        <f t="shared" si="12"/>
        <v> Ronilo</v>
      </c>
      <c r="M43" s="180">
        <v>1.0</v>
      </c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Montero</v>
      </c>
      <c r="D44" s="180">
        <v>1.0</v>
      </c>
      <c r="E44" s="181"/>
      <c r="F44" s="177"/>
      <c r="G44" s="127">
        <v>1.0</v>
      </c>
      <c r="H44" s="177"/>
      <c r="I44" s="177"/>
      <c r="K44" s="129">
        <f t="shared" si="11"/>
        <v>18</v>
      </c>
      <c r="L44" s="156" t="str">
        <f t="shared" si="12"/>
        <v> Curtis</v>
      </c>
      <c r="M44" s="180"/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Bonnstetter</v>
      </c>
      <c r="D45" s="180">
        <v>1.0</v>
      </c>
      <c r="E45" s="181"/>
      <c r="F45" s="177"/>
      <c r="G45" s="177"/>
      <c r="H45" s="177"/>
      <c r="I45" s="177"/>
      <c r="K45" s="129">
        <f t="shared" si="11"/>
        <v>18</v>
      </c>
      <c r="L45" s="156" t="str">
        <f t="shared" si="12"/>
        <v> Ronilo</v>
      </c>
      <c r="M45" s="180"/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Montero</v>
      </c>
      <c r="D46" s="180">
        <v>1.0</v>
      </c>
      <c r="E46" s="179"/>
      <c r="F46" s="177"/>
      <c r="G46" s="127">
        <v>1.0</v>
      </c>
      <c r="H46" s="177"/>
      <c r="I46" s="177"/>
      <c r="K46" s="135">
        <f t="shared" si="11"/>
        <v>19</v>
      </c>
      <c r="L46" s="156" t="str">
        <f t="shared" si="12"/>
        <v> Curtis</v>
      </c>
      <c r="M46" s="180"/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Bonnstetter</v>
      </c>
      <c r="D47" s="180"/>
      <c r="E47" s="179">
        <v>1.0</v>
      </c>
      <c r="F47" s="177"/>
      <c r="G47" s="127"/>
      <c r="H47" s="177"/>
      <c r="I47" s="177"/>
      <c r="K47" s="129">
        <f t="shared" si="11"/>
        <v>19</v>
      </c>
      <c r="L47" s="156" t="str">
        <f t="shared" si="12"/>
        <v> Ronilo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Montero</v>
      </c>
      <c r="D48" s="180"/>
      <c r="E48" s="181"/>
      <c r="F48" s="177"/>
      <c r="G48" s="177"/>
      <c r="H48" s="177"/>
      <c r="I48" s="177"/>
      <c r="K48" s="135">
        <f t="shared" si="11"/>
        <v>20</v>
      </c>
      <c r="L48" s="156" t="str">
        <f t="shared" si="12"/>
        <v> Curtis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Bonnstetter</v>
      </c>
      <c r="D49" s="178"/>
      <c r="E49" s="179"/>
      <c r="F49" s="177"/>
      <c r="G49" s="177"/>
      <c r="H49" s="177"/>
      <c r="I49" s="177"/>
      <c r="K49" s="129">
        <f t="shared" si="11"/>
        <v>20</v>
      </c>
      <c r="L49" s="156" t="str">
        <f t="shared" si="12"/>
        <v> Ronilo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Montero</v>
      </c>
      <c r="D50" s="180"/>
      <c r="E50" s="181"/>
      <c r="F50" s="177"/>
      <c r="G50" s="177"/>
      <c r="H50" s="177"/>
      <c r="I50" s="177"/>
      <c r="K50" s="129">
        <f t="shared" si="11"/>
        <v>21</v>
      </c>
      <c r="L50" s="156" t="str">
        <f t="shared" si="12"/>
        <v> Curtis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Bonnstetter</v>
      </c>
      <c r="D51" s="180"/>
      <c r="E51" s="181"/>
      <c r="F51" s="177"/>
      <c r="G51" s="177"/>
      <c r="H51" s="177"/>
      <c r="I51" s="177"/>
      <c r="K51" s="135">
        <f t="shared" si="11"/>
        <v>21</v>
      </c>
      <c r="L51" s="156" t="str">
        <f t="shared" si="12"/>
        <v> Ronilo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Montero</v>
      </c>
      <c r="D52" s="178"/>
      <c r="E52" s="181"/>
      <c r="F52" s="177"/>
      <c r="G52" s="177"/>
      <c r="H52" s="177"/>
      <c r="I52" s="177"/>
      <c r="K52" s="129">
        <f t="shared" si="11"/>
        <v>22</v>
      </c>
      <c r="L52" s="156" t="str">
        <f t="shared" si="12"/>
        <v> Curtis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Bonnstetter</v>
      </c>
      <c r="D53" s="178"/>
      <c r="E53" s="181"/>
      <c r="F53" s="177"/>
      <c r="G53" s="177"/>
      <c r="H53" s="177"/>
      <c r="I53" s="177"/>
      <c r="K53" s="135">
        <f t="shared" si="11"/>
        <v>22</v>
      </c>
      <c r="L53" s="156" t="str">
        <f t="shared" si="12"/>
        <v> Ronilo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Montero</v>
      </c>
      <c r="D54" s="178"/>
      <c r="E54" s="181"/>
      <c r="F54" s="177"/>
      <c r="G54" s="177"/>
      <c r="H54" s="177"/>
      <c r="I54" s="177"/>
      <c r="K54" s="129">
        <f t="shared" si="11"/>
        <v>23</v>
      </c>
      <c r="L54" s="156" t="str">
        <f t="shared" si="12"/>
        <v> Curtis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Bonnstetter</v>
      </c>
      <c r="D55" s="178"/>
      <c r="E55" s="181"/>
      <c r="K55" s="135">
        <f t="shared" si="11"/>
        <v>23</v>
      </c>
      <c r="L55" s="156" t="str">
        <f t="shared" si="12"/>
        <v> Ronilo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Montero</v>
      </c>
      <c r="D56" s="178"/>
      <c r="E56" s="181"/>
      <c r="K56" s="129">
        <f t="shared" si="11"/>
        <v>24</v>
      </c>
      <c r="L56" s="156" t="str">
        <f t="shared" si="12"/>
        <v> Curtis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Bonnstetter</v>
      </c>
      <c r="D57" s="178"/>
      <c r="E57" s="181"/>
      <c r="K57" s="129">
        <f t="shared" si="11"/>
        <v>24</v>
      </c>
      <c r="L57" s="156" t="str">
        <f t="shared" si="12"/>
        <v> Ronilo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Montero</v>
      </c>
      <c r="D58" s="178"/>
      <c r="E58" s="181"/>
      <c r="K58" s="135">
        <f t="shared" si="11"/>
        <v>25</v>
      </c>
      <c r="L58" s="156" t="str">
        <f t="shared" si="12"/>
        <v> Curtis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Bonnstetter</v>
      </c>
      <c r="D59" s="178"/>
      <c r="E59" s="181"/>
      <c r="K59" s="129">
        <f t="shared" si="11"/>
        <v>25</v>
      </c>
      <c r="L59" s="156" t="str">
        <f t="shared" si="12"/>
        <v> Ronilo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Montero</v>
      </c>
      <c r="D60" s="178"/>
      <c r="E60" s="181"/>
      <c r="K60" s="135">
        <f t="shared" si="11"/>
        <v>26</v>
      </c>
      <c r="L60" s="156" t="str">
        <f t="shared" si="12"/>
        <v> Curtis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Bonnstetter</v>
      </c>
      <c r="D61" s="178"/>
      <c r="E61" s="181"/>
      <c r="K61" s="129">
        <f t="shared" si="11"/>
        <v>26</v>
      </c>
      <c r="L61" s="156" t="str">
        <f t="shared" si="12"/>
        <v> Ronilo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Montero</v>
      </c>
      <c r="D62" s="178"/>
      <c r="E62" s="181"/>
      <c r="K62" s="135">
        <f t="shared" si="11"/>
        <v>27</v>
      </c>
      <c r="L62" s="156" t="str">
        <f t="shared" si="12"/>
        <v> Curtis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Bonnstetter</v>
      </c>
      <c r="D63" s="178"/>
      <c r="E63" s="181"/>
      <c r="K63" s="129">
        <f t="shared" si="11"/>
        <v>27</v>
      </c>
      <c r="L63" s="156" t="str">
        <f t="shared" si="12"/>
        <v> Ronilo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Montero</v>
      </c>
      <c r="D64" s="178"/>
      <c r="E64" s="181"/>
      <c r="K64" s="135">
        <f t="shared" si="11"/>
        <v>28</v>
      </c>
      <c r="L64" s="156" t="str">
        <f t="shared" si="12"/>
        <v> Curtis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Bonnstetter</v>
      </c>
      <c r="D65" s="178"/>
      <c r="E65" s="181"/>
      <c r="K65" s="129">
        <f t="shared" si="11"/>
        <v>28</v>
      </c>
      <c r="L65" s="156" t="str">
        <f t="shared" si="12"/>
        <v> Ronilo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Montero</v>
      </c>
      <c r="D66" s="178"/>
      <c r="E66" s="181"/>
      <c r="K66" s="135">
        <f t="shared" si="11"/>
        <v>29</v>
      </c>
      <c r="L66" s="156" t="str">
        <f t="shared" si="12"/>
        <v> Curtis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Bonnstetter</v>
      </c>
      <c r="D67" s="178"/>
      <c r="E67" s="181"/>
      <c r="K67" s="135">
        <f t="shared" si="11"/>
        <v>29</v>
      </c>
      <c r="L67" s="156" t="str">
        <f t="shared" si="12"/>
        <v> Ronilo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Montero</v>
      </c>
      <c r="D68" s="178"/>
      <c r="E68" s="181"/>
      <c r="K68" s="135">
        <f t="shared" si="11"/>
        <v>30</v>
      </c>
      <c r="L68" s="156" t="str">
        <f t="shared" si="12"/>
        <v> Curtis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Bonnstetter</v>
      </c>
      <c r="D69" s="178"/>
      <c r="E69" s="181"/>
      <c r="K69" s="135">
        <f t="shared" si="11"/>
        <v>30</v>
      </c>
      <c r="L69" s="156" t="str">
        <f t="shared" si="12"/>
        <v> Ronilo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Montero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Curtis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Bonnstetter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Ronilo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Montero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Curtis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Bonnstetter</v>
      </c>
      <c r="D73" s="178"/>
      <c r="E73" s="181"/>
      <c r="K73" s="129">
        <v>32.0</v>
      </c>
      <c r="L73" s="156" t="str">
        <f t="shared" si="12"/>
        <v> Ronilo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Montero</v>
      </c>
      <c r="D74" s="192"/>
      <c r="E74" s="181"/>
      <c r="K74" s="129">
        <v>33.0</v>
      </c>
      <c r="L74" s="156" t="str">
        <f t="shared" si="12"/>
        <v> Curtis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Bonnstetter</v>
      </c>
      <c r="D75" s="178"/>
      <c r="E75" s="181"/>
      <c r="K75" s="129">
        <v>33.0</v>
      </c>
      <c r="L75" s="156" t="str">
        <f t="shared" si="12"/>
        <v> Ronilo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Montero</v>
      </c>
      <c r="D76" s="178"/>
      <c r="E76" s="181"/>
      <c r="K76" s="129">
        <v>34.0</v>
      </c>
      <c r="L76" s="156" t="str">
        <f t="shared" si="12"/>
        <v> Curtis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Bonnstetter</v>
      </c>
      <c r="D77" s="178"/>
      <c r="E77" s="181"/>
      <c r="K77" s="129">
        <v>34.0</v>
      </c>
      <c r="L77" s="156" t="str">
        <f t="shared" si="12"/>
        <v> Ronilo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Montero</v>
      </c>
      <c r="D78" s="178"/>
      <c r="E78" s="181"/>
      <c r="K78" s="129">
        <v>35.0</v>
      </c>
      <c r="L78" s="156" t="str">
        <f t="shared" si="12"/>
        <v> Curtis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Bonnstetter</v>
      </c>
      <c r="D79" s="178"/>
      <c r="E79" s="181"/>
      <c r="K79" s="129">
        <v>35.0</v>
      </c>
      <c r="L79" s="156" t="str">
        <f t="shared" si="12"/>
        <v> Ronilo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Montero</v>
      </c>
      <c r="D80" s="178"/>
      <c r="E80" s="181"/>
      <c r="K80" s="129">
        <v>36.0</v>
      </c>
      <c r="L80" s="156" t="str">
        <f t="shared" si="12"/>
        <v> Curtis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Bonnstetter</v>
      </c>
      <c r="D81" s="178"/>
      <c r="E81" s="181"/>
      <c r="K81" s="129">
        <v>36.0</v>
      </c>
      <c r="L81" s="156" t="str">
        <f t="shared" si="12"/>
        <v> Ronilo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Montero</v>
      </c>
      <c r="D82" s="178"/>
      <c r="E82" s="181"/>
      <c r="K82" s="129">
        <v>37.0</v>
      </c>
      <c r="L82" s="156" t="str">
        <f t="shared" si="12"/>
        <v> Curtis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Bonnstetter</v>
      </c>
      <c r="D83" s="178"/>
      <c r="E83" s="181"/>
      <c r="K83" s="129">
        <v>37.0</v>
      </c>
      <c r="L83" s="156" t="str">
        <f t="shared" si="12"/>
        <v> Ronilo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Montero</v>
      </c>
      <c r="D84" s="178"/>
      <c r="E84" s="181"/>
      <c r="K84" s="129">
        <v>38.0</v>
      </c>
      <c r="L84" s="156" t="str">
        <f t="shared" si="12"/>
        <v> Curtis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Bonnstetter</v>
      </c>
      <c r="D85" s="178"/>
      <c r="E85" s="181"/>
      <c r="K85" s="129">
        <v>38.0</v>
      </c>
      <c r="L85" s="156" t="str">
        <f t="shared" si="12"/>
        <v> Ronilo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Montero</v>
      </c>
      <c r="D86" s="178"/>
      <c r="E86" s="181"/>
      <c r="K86" s="129">
        <v>39.0</v>
      </c>
      <c r="L86" s="156" t="str">
        <f t="shared" si="12"/>
        <v> Curtis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Bonnstetter</v>
      </c>
      <c r="D87" s="178"/>
      <c r="E87" s="181"/>
      <c r="K87" s="129">
        <v>39.0</v>
      </c>
      <c r="L87" s="156" t="str">
        <f t="shared" si="12"/>
        <v> Ronilo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Montero</v>
      </c>
      <c r="D88" s="178"/>
      <c r="E88" s="181"/>
      <c r="K88" s="129">
        <v>40.0</v>
      </c>
      <c r="L88" s="156" t="str">
        <f t="shared" si="12"/>
        <v> Curtis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Bonnstetter</v>
      </c>
      <c r="D89" s="178"/>
      <c r="E89" s="181"/>
      <c r="K89" s="129">
        <v>40.0</v>
      </c>
      <c r="L89" s="156" t="str">
        <f t="shared" si="12"/>
        <v> Ronilo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92</v>
      </c>
      <c r="D3" s="189">
        <f t="shared" ref="D3:J3" si="1">SUMPRODUCT(D10:D90,MOD(ROW(D10:D90),2)=0)</f>
        <v>5</v>
      </c>
      <c r="E3" s="189">
        <f t="shared" si="1"/>
        <v>2</v>
      </c>
      <c r="F3" s="189">
        <f t="shared" si="1"/>
        <v>0</v>
      </c>
      <c r="G3" s="189">
        <f t="shared" si="1"/>
        <v>0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100</v>
      </c>
      <c r="M3" s="189">
        <f t="shared" ref="M3:S3" si="2">SUMPRODUCT(M10:M90,MOD(ROW(M10:M90),2)=0)</f>
        <v>3</v>
      </c>
      <c r="N3" s="189">
        <f t="shared" si="2"/>
        <v>7</v>
      </c>
      <c r="O3" s="189">
        <f t="shared" si="2"/>
        <v>0</v>
      </c>
      <c r="P3" s="189">
        <f t="shared" si="2"/>
        <v>0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124</v>
      </c>
      <c r="D4" s="191">
        <f t="shared" ref="D4:J4" si="3">SUMPRODUCT(D10:D90,MOD(ROW(D10:D90),2))</f>
        <v>4</v>
      </c>
      <c r="E4" s="191">
        <f t="shared" si="3"/>
        <v>2</v>
      </c>
      <c r="F4" s="191">
        <f t="shared" si="3"/>
        <v>0</v>
      </c>
      <c r="G4" s="191">
        <f t="shared" si="3"/>
        <v>0</v>
      </c>
      <c r="H4" s="191">
        <f t="shared" si="3"/>
        <v>0</v>
      </c>
      <c r="I4" s="191">
        <f t="shared" si="3"/>
        <v>0</v>
      </c>
      <c r="J4" s="191">
        <f t="shared" si="3"/>
        <v>1</v>
      </c>
      <c r="K4" s="129" t="s">
        <v>179</v>
      </c>
      <c r="L4" s="127" t="s">
        <v>82</v>
      </c>
      <c r="M4" s="191">
        <f t="shared" ref="M4:S4" si="4">SUMPRODUCT(M10:M90,MOD(ROW(M10:M90),2))</f>
        <v>7</v>
      </c>
      <c r="N4" s="191">
        <f t="shared" si="4"/>
        <v>3</v>
      </c>
      <c r="O4" s="191">
        <f t="shared" si="4"/>
        <v>1</v>
      </c>
      <c r="P4" s="191">
        <f t="shared" si="4"/>
        <v>0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Doody %</v>
      </c>
      <c r="D5" s="137">
        <f t="shared" ref="D5:D6" si="6">IFERROR((E3/(E3+D3)),0)</f>
        <v>0.2857142857</v>
      </c>
      <c r="K5" s="135"/>
      <c r="L5" s="136" t="str">
        <f t="shared" ref="L5:L6" si="7">IFERROR((L10 &amp;" %"), "")</f>
        <v> Gathy %</v>
      </c>
      <c r="M5" s="137">
        <f t="shared" ref="M5:M6" si="8">IFERROR((N3/(N3+M3)),0)</f>
        <v>0.7</v>
      </c>
      <c r="S5" s="132"/>
      <c r="T5" s="132"/>
      <c r="U5" s="7"/>
    </row>
    <row r="6">
      <c r="A6" s="14"/>
      <c r="B6" s="138"/>
      <c r="C6" s="139" t="str">
        <f t="shared" si="5"/>
        <v> Morrison %</v>
      </c>
      <c r="D6" s="140">
        <f t="shared" si="6"/>
        <v>0.3333333333</v>
      </c>
      <c r="E6" s="141"/>
      <c r="F6" s="141"/>
      <c r="G6" s="141"/>
      <c r="H6" s="141"/>
      <c r="I6" s="141"/>
      <c r="J6" s="141"/>
      <c r="K6" s="138"/>
      <c r="L6" s="139" t="str">
        <f t="shared" si="7"/>
        <v> Mies %</v>
      </c>
      <c r="M6" s="142">
        <f t="shared" si="8"/>
        <v>0.3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Doody")</f>
        <v> Doody</v>
      </c>
      <c r="D10" s="200">
        <v>1.0</v>
      </c>
      <c r="E10" s="205"/>
      <c r="F10" s="199"/>
      <c r="G10" s="199"/>
      <c r="H10" s="177"/>
      <c r="I10" s="177"/>
      <c r="K10" s="129">
        <v>1.0</v>
      </c>
      <c r="L10" s="136" t="str">
        <f>IFERROR(__xludf.DUMMYFUNCTION("REGEXEXTRACT(L3, ""( .*)+"")")," Gathy")</f>
        <v> Gathy</v>
      </c>
      <c r="M10" s="200">
        <v>1.0</v>
      </c>
      <c r="N10" s="201"/>
      <c r="O10" s="177"/>
      <c r="P10" s="199"/>
      <c r="Q10" s="177"/>
      <c r="R10" s="177"/>
      <c r="T10" s="132"/>
      <c r="U10" s="7"/>
    </row>
    <row r="11">
      <c r="A11" s="8"/>
      <c r="B11" s="129">
        <v>1.0</v>
      </c>
      <c r="C11" s="136" t="str">
        <f>IFERROR(__xludf.DUMMYFUNCTION("REGEXEXTRACT(C4, ""( .*)+"")")," Morrison")</f>
        <v> Morrison</v>
      </c>
      <c r="D11" s="202"/>
      <c r="E11" s="207">
        <v>1.0</v>
      </c>
      <c r="F11" s="177"/>
      <c r="G11" s="177"/>
      <c r="H11" s="177"/>
      <c r="I11" s="177"/>
      <c r="K11" s="129">
        <v>1.0</v>
      </c>
      <c r="L11" s="136" t="str">
        <f>IFERROR(__xludf.DUMMYFUNCTION("REGEXEXTRACT(L4, ""( .*)+"")")," Mies")</f>
        <v> Mies</v>
      </c>
      <c r="M11" s="202">
        <v>1.0</v>
      </c>
      <c r="N11" s="203"/>
      <c r="O11" s="177"/>
      <c r="P11" s="177"/>
      <c r="Q11" s="177"/>
      <c r="R11" s="177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Doody</v>
      </c>
      <c r="D12" s="202">
        <v>1.0</v>
      </c>
      <c r="E12" s="203"/>
      <c r="F12" s="177"/>
      <c r="G12" s="177"/>
      <c r="H12" s="177"/>
      <c r="I12" s="177"/>
      <c r="K12" s="129">
        <f t="shared" ref="K12:K69" si="11">K10+1</f>
        <v>2</v>
      </c>
      <c r="L12" s="156" t="str">
        <f t="shared" ref="L12:L89" si="12">L10</f>
        <v> Gathy</v>
      </c>
      <c r="M12" s="197"/>
      <c r="N12" s="198">
        <v>1.0</v>
      </c>
      <c r="O12" s="177"/>
      <c r="P12" s="177"/>
      <c r="Q12" s="177"/>
      <c r="R12" s="177"/>
      <c r="T12" s="132"/>
      <c r="U12" s="7"/>
    </row>
    <row r="13">
      <c r="A13" s="14"/>
      <c r="B13" s="135">
        <f t="shared" si="9"/>
        <v>2</v>
      </c>
      <c r="C13" s="156" t="str">
        <f t="shared" si="10"/>
        <v> Morrison</v>
      </c>
      <c r="D13" s="197"/>
      <c r="E13" s="198">
        <v>1.0</v>
      </c>
      <c r="F13" s="177"/>
      <c r="G13" s="191"/>
      <c r="H13" s="177"/>
      <c r="I13" s="177"/>
      <c r="K13" s="135">
        <f t="shared" si="11"/>
        <v>2</v>
      </c>
      <c r="L13" s="156" t="str">
        <f t="shared" si="12"/>
        <v> Mies</v>
      </c>
      <c r="M13" s="202">
        <v>1.0</v>
      </c>
      <c r="N13" s="188"/>
      <c r="O13" s="177"/>
      <c r="P13" s="177"/>
      <c r="Q13" s="177"/>
      <c r="R13" s="177"/>
      <c r="T13" s="132"/>
      <c r="U13" s="7"/>
    </row>
    <row r="14">
      <c r="A14" s="8"/>
      <c r="B14" s="129">
        <f t="shared" si="9"/>
        <v>3</v>
      </c>
      <c r="C14" s="156" t="str">
        <f t="shared" si="10"/>
        <v> Doody</v>
      </c>
      <c r="D14" s="202">
        <v>1.0</v>
      </c>
      <c r="E14" s="203"/>
      <c r="F14" s="177"/>
      <c r="G14" s="177"/>
      <c r="H14" s="177"/>
      <c r="I14" s="177"/>
      <c r="K14" s="129">
        <f t="shared" si="11"/>
        <v>3</v>
      </c>
      <c r="L14" s="156" t="str">
        <f t="shared" si="12"/>
        <v> Gathy</v>
      </c>
      <c r="M14" s="208"/>
      <c r="N14" s="207">
        <v>1.0</v>
      </c>
      <c r="O14" s="177"/>
      <c r="P14" s="177"/>
      <c r="Q14" s="177"/>
      <c r="R14" s="177"/>
      <c r="T14" s="132"/>
      <c r="U14" s="7"/>
    </row>
    <row r="15">
      <c r="A15" s="14"/>
      <c r="B15" s="135">
        <f t="shared" si="9"/>
        <v>3</v>
      </c>
      <c r="C15" s="156" t="str">
        <f t="shared" si="10"/>
        <v> Morrison</v>
      </c>
      <c r="D15" s="200">
        <v>1.0</v>
      </c>
      <c r="E15" s="201"/>
      <c r="F15" s="177"/>
      <c r="G15" s="177"/>
      <c r="H15" s="177"/>
      <c r="I15" s="177"/>
      <c r="K15" s="135">
        <f t="shared" si="11"/>
        <v>3</v>
      </c>
      <c r="L15" s="156" t="str">
        <f t="shared" si="12"/>
        <v> Mies</v>
      </c>
      <c r="M15" s="197"/>
      <c r="N15" s="198">
        <v>1.0</v>
      </c>
      <c r="O15" s="177"/>
      <c r="P15" s="177"/>
      <c r="Q15" s="177"/>
      <c r="R15" s="177"/>
      <c r="T15" s="132"/>
      <c r="U15" s="7"/>
    </row>
    <row r="16">
      <c r="A16" s="8"/>
      <c r="B16" s="129">
        <f t="shared" si="9"/>
        <v>4</v>
      </c>
      <c r="C16" s="156" t="str">
        <f t="shared" si="10"/>
        <v> Doody</v>
      </c>
      <c r="D16" s="197"/>
      <c r="E16" s="198">
        <v>1.0</v>
      </c>
      <c r="F16" s="177"/>
      <c r="G16" s="177"/>
      <c r="H16" s="177"/>
      <c r="I16" s="177"/>
      <c r="K16" s="129">
        <f t="shared" si="11"/>
        <v>4</v>
      </c>
      <c r="L16" s="156" t="str">
        <f t="shared" si="12"/>
        <v> Gathy</v>
      </c>
      <c r="M16" s="200">
        <v>1.0</v>
      </c>
      <c r="N16" s="205"/>
      <c r="O16" s="177"/>
      <c r="P16" s="177"/>
      <c r="Q16" s="177"/>
      <c r="R16" s="177"/>
      <c r="T16" s="132"/>
      <c r="U16" s="7"/>
    </row>
    <row r="17">
      <c r="A17" s="14"/>
      <c r="B17" s="135">
        <f t="shared" si="9"/>
        <v>4</v>
      </c>
      <c r="C17" s="156" t="str">
        <f t="shared" si="10"/>
        <v> Morrison</v>
      </c>
      <c r="D17" s="200">
        <v>1.0</v>
      </c>
      <c r="E17" s="201"/>
      <c r="F17" s="177"/>
      <c r="G17" s="177"/>
      <c r="H17" s="177"/>
      <c r="I17" s="177"/>
      <c r="K17" s="135">
        <f t="shared" si="11"/>
        <v>4</v>
      </c>
      <c r="L17" s="156" t="str">
        <f t="shared" si="12"/>
        <v> Mies</v>
      </c>
      <c r="M17" s="202">
        <v>1.0</v>
      </c>
      <c r="N17" s="203"/>
      <c r="O17" s="177"/>
      <c r="P17" s="177"/>
      <c r="Q17" s="177"/>
      <c r="R17" s="177"/>
      <c r="T17" s="132"/>
      <c r="U17" s="7"/>
    </row>
    <row r="18">
      <c r="A18" s="8"/>
      <c r="B18" s="129">
        <f t="shared" si="9"/>
        <v>5</v>
      </c>
      <c r="C18" s="156" t="str">
        <f t="shared" si="10"/>
        <v> Doody</v>
      </c>
      <c r="D18" s="197"/>
      <c r="E18" s="198">
        <v>1.0</v>
      </c>
      <c r="F18" s="177"/>
      <c r="G18" s="191"/>
      <c r="H18" s="177"/>
      <c r="I18" s="177"/>
      <c r="K18" s="129">
        <f t="shared" si="11"/>
        <v>5</v>
      </c>
      <c r="L18" s="156" t="str">
        <f t="shared" si="12"/>
        <v> Gathy</v>
      </c>
      <c r="M18" s="200">
        <v>1.0</v>
      </c>
      <c r="N18" s="205"/>
      <c r="O18" s="177"/>
      <c r="P18" s="177"/>
      <c r="Q18" s="177"/>
      <c r="R18" s="177"/>
      <c r="T18" s="132"/>
      <c r="U18" s="7"/>
    </row>
    <row r="19">
      <c r="A19" s="14"/>
      <c r="B19" s="135">
        <f t="shared" si="9"/>
        <v>5</v>
      </c>
      <c r="C19" s="156" t="str">
        <f t="shared" si="10"/>
        <v> Morrison</v>
      </c>
      <c r="D19" s="200">
        <v>1.0</v>
      </c>
      <c r="E19" s="205"/>
      <c r="F19" s="177"/>
      <c r="G19" s="177"/>
      <c r="H19" s="177"/>
      <c r="I19" s="177"/>
      <c r="K19" s="135">
        <f t="shared" si="11"/>
        <v>5</v>
      </c>
      <c r="L19" s="156" t="str">
        <f t="shared" si="12"/>
        <v> Mies</v>
      </c>
      <c r="M19" s="202">
        <v>1.0</v>
      </c>
      <c r="N19" s="203"/>
      <c r="O19" s="127">
        <v>1.0</v>
      </c>
      <c r="P19" s="177"/>
      <c r="Q19" s="177"/>
      <c r="R19" s="177"/>
      <c r="T19" s="132"/>
      <c r="U19" s="7"/>
    </row>
    <row r="20">
      <c r="A20" s="8"/>
      <c r="B20" s="129">
        <f t="shared" si="9"/>
        <v>6</v>
      </c>
      <c r="C20" s="156" t="str">
        <f t="shared" si="10"/>
        <v> Doody</v>
      </c>
      <c r="D20" s="200">
        <v>1.0</v>
      </c>
      <c r="E20" s="201"/>
      <c r="F20" s="177"/>
      <c r="G20" s="177"/>
      <c r="H20" s="177"/>
      <c r="I20" s="177"/>
      <c r="K20" s="129">
        <f t="shared" si="11"/>
        <v>6</v>
      </c>
      <c r="L20" s="156" t="str">
        <f t="shared" si="12"/>
        <v> Gathy</v>
      </c>
      <c r="M20" s="197"/>
      <c r="N20" s="198">
        <v>1.0</v>
      </c>
      <c r="O20" s="177"/>
      <c r="P20" s="177"/>
      <c r="Q20" s="177"/>
      <c r="R20" s="177"/>
      <c r="T20" s="132"/>
      <c r="U20" s="7"/>
    </row>
    <row r="21">
      <c r="A21" s="14"/>
      <c r="B21" s="135">
        <f t="shared" si="9"/>
        <v>6</v>
      </c>
      <c r="C21" s="156" t="str">
        <f t="shared" si="10"/>
        <v> Morrison</v>
      </c>
      <c r="D21" s="197"/>
      <c r="E21" s="205"/>
      <c r="F21" s="177"/>
      <c r="G21" s="177"/>
      <c r="H21" s="177"/>
      <c r="I21" s="177"/>
      <c r="J21" s="136">
        <v>1.0</v>
      </c>
      <c r="K21" s="135">
        <f t="shared" si="11"/>
        <v>6</v>
      </c>
      <c r="L21" s="156" t="str">
        <f t="shared" si="12"/>
        <v> Mies</v>
      </c>
      <c r="M21" s="200"/>
      <c r="N21" s="198">
        <v>1.0</v>
      </c>
      <c r="O21" s="177"/>
      <c r="P21" s="177"/>
      <c r="Q21" s="177"/>
      <c r="R21" s="177"/>
      <c r="T21" s="132"/>
      <c r="U21" s="7"/>
    </row>
    <row r="22">
      <c r="A22" s="8"/>
      <c r="B22" s="129">
        <f t="shared" si="9"/>
        <v>7</v>
      </c>
      <c r="C22" s="156" t="str">
        <f t="shared" si="10"/>
        <v> Doody</v>
      </c>
      <c r="D22" s="202">
        <v>1.0</v>
      </c>
      <c r="E22" s="188"/>
      <c r="F22" s="177"/>
      <c r="G22" s="177"/>
      <c r="H22" s="177"/>
      <c r="I22" s="177"/>
      <c r="K22" s="129">
        <f t="shared" si="11"/>
        <v>7</v>
      </c>
      <c r="L22" s="156" t="str">
        <f t="shared" si="12"/>
        <v> Gathy</v>
      </c>
      <c r="M22" s="197"/>
      <c r="N22" s="198">
        <v>1.0</v>
      </c>
      <c r="O22" s="177"/>
      <c r="P22" s="177"/>
      <c r="Q22" s="177"/>
      <c r="R22" s="177"/>
      <c r="T22" s="132"/>
      <c r="U22" s="7"/>
    </row>
    <row r="23">
      <c r="A23" s="14"/>
      <c r="B23" s="135">
        <f t="shared" si="9"/>
        <v>7</v>
      </c>
      <c r="C23" s="156" t="str">
        <f t="shared" si="10"/>
        <v> Morrison</v>
      </c>
      <c r="D23" s="200">
        <v>1.0</v>
      </c>
      <c r="E23" s="205"/>
      <c r="F23" s="177"/>
      <c r="G23" s="177"/>
      <c r="H23" s="177"/>
      <c r="I23" s="177"/>
      <c r="K23" s="135">
        <f t="shared" si="11"/>
        <v>7</v>
      </c>
      <c r="L23" s="156" t="str">
        <f t="shared" si="12"/>
        <v> Mies</v>
      </c>
      <c r="M23" s="200">
        <v>1.0</v>
      </c>
      <c r="N23" s="205"/>
      <c r="O23" s="177"/>
      <c r="P23" s="177"/>
      <c r="Q23" s="177"/>
      <c r="R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 Doody</v>
      </c>
      <c r="D24" s="197"/>
      <c r="E24" s="205"/>
      <c r="F24" s="177"/>
      <c r="G24" s="177"/>
      <c r="H24" s="177"/>
      <c r="I24" s="177"/>
      <c r="K24" s="129">
        <f t="shared" si="11"/>
        <v>8</v>
      </c>
      <c r="L24" s="156" t="str">
        <f t="shared" si="12"/>
        <v> Gathy</v>
      </c>
      <c r="M24" s="208"/>
      <c r="N24" s="207">
        <v>1.0</v>
      </c>
      <c r="O24" s="177"/>
      <c r="P24" s="177"/>
      <c r="Q24" s="177"/>
      <c r="R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 Morrison</v>
      </c>
      <c r="D25" s="208"/>
      <c r="E25" s="188"/>
      <c r="F25" s="177"/>
      <c r="G25" s="177"/>
      <c r="H25" s="177"/>
      <c r="I25" s="177"/>
      <c r="K25" s="135">
        <f t="shared" si="11"/>
        <v>8</v>
      </c>
      <c r="L25" s="156" t="str">
        <f t="shared" si="12"/>
        <v> Mies</v>
      </c>
      <c r="M25" s="206"/>
      <c r="N25" s="207">
        <v>1.0</v>
      </c>
      <c r="O25" s="177"/>
      <c r="P25" s="177"/>
      <c r="Q25" s="177"/>
      <c r="R25" s="177"/>
      <c r="T25" s="132"/>
      <c r="U25" s="7"/>
    </row>
    <row r="26">
      <c r="A26" s="8"/>
      <c r="B26" s="129">
        <f t="shared" si="9"/>
        <v>9</v>
      </c>
      <c r="C26" s="156" t="str">
        <f t="shared" si="10"/>
        <v> Doody</v>
      </c>
      <c r="D26" s="208"/>
      <c r="E26" s="188"/>
      <c r="F26" s="177"/>
      <c r="G26" s="177"/>
      <c r="H26" s="177"/>
      <c r="I26" s="177"/>
      <c r="K26" s="129">
        <f t="shared" si="11"/>
        <v>9</v>
      </c>
      <c r="L26" s="156" t="str">
        <f t="shared" si="12"/>
        <v> Gathy</v>
      </c>
      <c r="M26" s="197"/>
      <c r="N26" s="198">
        <v>1.0</v>
      </c>
      <c r="O26" s="177"/>
      <c r="P26" s="177"/>
      <c r="Q26" s="177"/>
      <c r="R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 Morrison</v>
      </c>
      <c r="D27" s="208"/>
      <c r="E27" s="188"/>
      <c r="F27" s="177"/>
      <c r="G27" s="177"/>
      <c r="H27" s="177"/>
      <c r="I27" s="177"/>
      <c r="K27" s="135">
        <f t="shared" si="11"/>
        <v>9</v>
      </c>
      <c r="L27" s="156" t="str">
        <f t="shared" si="12"/>
        <v> Mies</v>
      </c>
      <c r="M27" s="200">
        <v>1.0</v>
      </c>
      <c r="N27" s="205"/>
      <c r="O27" s="177"/>
      <c r="P27" s="177"/>
      <c r="Q27" s="177"/>
      <c r="R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 Doody</v>
      </c>
      <c r="D28" s="197"/>
      <c r="E28" s="205"/>
      <c r="F28" s="177"/>
      <c r="G28" s="191"/>
      <c r="H28" s="177"/>
      <c r="I28" s="177"/>
      <c r="K28" s="129">
        <f t="shared" si="11"/>
        <v>10</v>
      </c>
      <c r="L28" s="156" t="str">
        <f t="shared" si="12"/>
        <v> Gathy</v>
      </c>
      <c r="M28" s="197"/>
      <c r="N28" s="198">
        <v>1.0</v>
      </c>
      <c r="O28" s="177"/>
      <c r="P28" s="177"/>
      <c r="Q28" s="177"/>
      <c r="R28" s="177"/>
      <c r="T28" s="132"/>
      <c r="U28" s="7"/>
    </row>
    <row r="29">
      <c r="A29" s="14"/>
      <c r="B29" s="135">
        <f t="shared" si="9"/>
        <v>10</v>
      </c>
      <c r="C29" s="156" t="str">
        <f t="shared" si="10"/>
        <v> Morrison</v>
      </c>
      <c r="D29" s="197"/>
      <c r="E29" s="205"/>
      <c r="F29" s="177"/>
      <c r="G29" s="177"/>
      <c r="H29" s="177"/>
      <c r="I29" s="177"/>
      <c r="K29" s="135">
        <f t="shared" si="11"/>
        <v>10</v>
      </c>
      <c r="L29" s="156" t="str">
        <f t="shared" si="12"/>
        <v> Mies</v>
      </c>
      <c r="M29" s="200">
        <v>1.0</v>
      </c>
      <c r="N29" s="205"/>
      <c r="O29" s="177"/>
      <c r="P29" s="177"/>
      <c r="Q29" s="177"/>
      <c r="R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 Doody</v>
      </c>
      <c r="D30" s="197"/>
      <c r="E30" s="205"/>
      <c r="F30" s="177"/>
      <c r="G30" s="177"/>
      <c r="H30" s="177"/>
      <c r="I30" s="177"/>
      <c r="K30" s="129">
        <f t="shared" si="11"/>
        <v>11</v>
      </c>
      <c r="L30" s="156" t="str">
        <f t="shared" si="12"/>
        <v> Gathy</v>
      </c>
      <c r="M30" s="197"/>
      <c r="N30" s="205"/>
      <c r="O30" s="177"/>
      <c r="P30" s="177"/>
      <c r="Q30" s="177"/>
      <c r="R30" s="177"/>
      <c r="T30" s="132"/>
      <c r="U30" s="7"/>
    </row>
    <row r="31">
      <c r="A31" s="14"/>
      <c r="B31" s="135">
        <f t="shared" si="9"/>
        <v>11</v>
      </c>
      <c r="C31" s="156" t="str">
        <f t="shared" si="10"/>
        <v> Morrison</v>
      </c>
      <c r="D31" s="197"/>
      <c r="E31" s="205"/>
      <c r="F31" s="177"/>
      <c r="G31" s="177"/>
      <c r="H31" s="177"/>
      <c r="I31" s="177"/>
      <c r="K31" s="135">
        <f t="shared" si="11"/>
        <v>11</v>
      </c>
      <c r="L31" s="156" t="str">
        <f t="shared" si="12"/>
        <v> Mies</v>
      </c>
      <c r="M31" s="206"/>
      <c r="N31" s="203"/>
      <c r="O31" s="177"/>
      <c r="P31" s="177"/>
      <c r="Q31" s="177"/>
      <c r="R31" s="177"/>
      <c r="T31" s="132"/>
      <c r="U31" s="7"/>
    </row>
    <row r="32">
      <c r="A32" s="8"/>
      <c r="B32" s="129">
        <f t="shared" si="9"/>
        <v>12</v>
      </c>
      <c r="C32" s="156" t="str">
        <f t="shared" si="10"/>
        <v> Doody</v>
      </c>
      <c r="D32" s="197"/>
      <c r="E32" s="205"/>
      <c r="F32" s="177"/>
      <c r="G32" s="177"/>
      <c r="H32" s="177"/>
      <c r="I32" s="177"/>
      <c r="K32" s="129">
        <f t="shared" si="11"/>
        <v>12</v>
      </c>
      <c r="L32" s="156" t="str">
        <f t="shared" si="12"/>
        <v> Gathy</v>
      </c>
      <c r="M32" s="197"/>
      <c r="N32" s="205"/>
      <c r="O32" s="177"/>
      <c r="P32" s="177"/>
      <c r="Q32" s="177"/>
      <c r="R32" s="177"/>
      <c r="T32" s="132"/>
      <c r="U32" s="7"/>
    </row>
    <row r="33">
      <c r="A33" s="14"/>
      <c r="B33" s="135">
        <f t="shared" si="9"/>
        <v>12</v>
      </c>
      <c r="C33" s="156" t="str">
        <f t="shared" si="10"/>
        <v> Morrison</v>
      </c>
      <c r="D33" s="197"/>
      <c r="E33" s="205"/>
      <c r="F33" s="177"/>
      <c r="G33" s="177"/>
      <c r="H33" s="177"/>
      <c r="I33" s="177"/>
      <c r="K33" s="135">
        <f t="shared" si="11"/>
        <v>12</v>
      </c>
      <c r="L33" s="156" t="str">
        <f t="shared" si="12"/>
        <v> Mies</v>
      </c>
      <c r="M33" s="187"/>
      <c r="N33" s="201"/>
      <c r="O33" s="177"/>
      <c r="P33" s="177"/>
      <c r="Q33" s="177"/>
      <c r="R33" s="177"/>
      <c r="T33" s="132"/>
      <c r="U33" s="7"/>
    </row>
    <row r="34">
      <c r="A34" s="8"/>
      <c r="B34" s="129">
        <f t="shared" si="9"/>
        <v>13</v>
      </c>
      <c r="C34" s="156" t="str">
        <f t="shared" si="10"/>
        <v> Doody</v>
      </c>
      <c r="D34" s="197"/>
      <c r="E34" s="205"/>
      <c r="F34" s="177"/>
      <c r="G34" s="177"/>
      <c r="H34" s="177"/>
      <c r="I34" s="177"/>
      <c r="K34" s="129">
        <f t="shared" si="11"/>
        <v>13</v>
      </c>
      <c r="L34" s="156" t="str">
        <f t="shared" si="12"/>
        <v> Gathy</v>
      </c>
      <c r="M34" s="208"/>
      <c r="N34" s="188"/>
      <c r="O34" s="177"/>
      <c r="P34" s="177"/>
      <c r="Q34" s="177"/>
      <c r="R34" s="177"/>
      <c r="T34" s="132"/>
      <c r="U34" s="7"/>
    </row>
    <row r="35">
      <c r="A35" s="14"/>
      <c r="B35" s="135">
        <f t="shared" si="9"/>
        <v>13</v>
      </c>
      <c r="C35" s="156" t="str">
        <f t="shared" si="10"/>
        <v> Morrison</v>
      </c>
      <c r="D35" s="208"/>
      <c r="E35" s="188"/>
      <c r="F35" s="177"/>
      <c r="G35" s="177"/>
      <c r="H35" s="177"/>
      <c r="I35" s="177"/>
      <c r="K35" s="135">
        <f t="shared" si="11"/>
        <v>13</v>
      </c>
      <c r="L35" s="156" t="str">
        <f t="shared" si="12"/>
        <v> Mies</v>
      </c>
      <c r="M35" s="197"/>
      <c r="N35" s="205"/>
      <c r="O35" s="177"/>
      <c r="P35" s="177"/>
      <c r="Q35" s="177"/>
      <c r="R35" s="177"/>
      <c r="T35" s="132"/>
      <c r="U35" s="7"/>
    </row>
    <row r="36">
      <c r="A36" s="8"/>
      <c r="B36" s="129">
        <f t="shared" si="9"/>
        <v>14</v>
      </c>
      <c r="C36" s="156" t="str">
        <f t="shared" si="10"/>
        <v> Doody</v>
      </c>
      <c r="D36" s="208"/>
      <c r="E36" s="205"/>
      <c r="F36" s="177"/>
      <c r="G36" s="177"/>
      <c r="H36" s="177"/>
      <c r="I36" s="177"/>
      <c r="K36" s="129">
        <f t="shared" si="11"/>
        <v>14</v>
      </c>
      <c r="L36" s="156" t="str">
        <f t="shared" si="12"/>
        <v> Gathy</v>
      </c>
      <c r="M36" s="208"/>
      <c r="N36" s="205"/>
      <c r="O36" s="177"/>
      <c r="P36" s="177"/>
      <c r="Q36" s="177"/>
      <c r="R36" s="177"/>
      <c r="T36" s="132"/>
      <c r="U36" s="7"/>
    </row>
    <row r="37">
      <c r="A37" s="14"/>
      <c r="B37" s="135">
        <f t="shared" si="9"/>
        <v>14</v>
      </c>
      <c r="C37" s="156" t="str">
        <f t="shared" si="10"/>
        <v> Morrison</v>
      </c>
      <c r="D37" s="208"/>
      <c r="E37" s="188"/>
      <c r="F37" s="177"/>
      <c r="G37" s="177"/>
      <c r="H37" s="177"/>
      <c r="I37" s="177"/>
      <c r="K37" s="135">
        <f t="shared" si="11"/>
        <v>14</v>
      </c>
      <c r="L37" s="156" t="str">
        <f t="shared" si="12"/>
        <v> Mies</v>
      </c>
      <c r="M37" s="208"/>
      <c r="N37" s="188"/>
      <c r="O37" s="177"/>
      <c r="P37" s="177"/>
      <c r="Q37" s="177"/>
      <c r="R37" s="177"/>
      <c r="T37" s="132"/>
      <c r="U37" s="7"/>
    </row>
    <row r="38">
      <c r="A38" s="8"/>
      <c r="B38" s="129">
        <f t="shared" si="9"/>
        <v>15</v>
      </c>
      <c r="C38" s="156" t="str">
        <f t="shared" si="10"/>
        <v> Doody</v>
      </c>
      <c r="D38" s="208"/>
      <c r="E38" s="205"/>
      <c r="F38" s="177"/>
      <c r="G38" s="177"/>
      <c r="H38" s="177"/>
      <c r="I38" s="177"/>
      <c r="K38" s="129">
        <f t="shared" si="11"/>
        <v>15</v>
      </c>
      <c r="L38" s="156" t="str">
        <f t="shared" si="12"/>
        <v> Gathy</v>
      </c>
      <c r="M38" s="208"/>
      <c r="N38" s="205"/>
      <c r="O38" s="177"/>
      <c r="P38" s="177"/>
      <c r="Q38" s="177"/>
      <c r="R38" s="177"/>
      <c r="T38" s="132"/>
      <c r="U38" s="7"/>
    </row>
    <row r="39">
      <c r="A39" s="14"/>
      <c r="B39" s="135">
        <f t="shared" si="9"/>
        <v>15</v>
      </c>
      <c r="C39" s="156" t="str">
        <f t="shared" si="10"/>
        <v> Morrison</v>
      </c>
      <c r="D39" s="197"/>
      <c r="E39" s="205"/>
      <c r="F39" s="177"/>
      <c r="G39" s="177"/>
      <c r="H39" s="177"/>
      <c r="I39" s="177"/>
      <c r="K39" s="135">
        <f t="shared" si="11"/>
        <v>15</v>
      </c>
      <c r="L39" s="156" t="str">
        <f t="shared" si="12"/>
        <v> Mies</v>
      </c>
      <c r="M39" s="208"/>
      <c r="N39" s="205"/>
      <c r="O39" s="177"/>
      <c r="P39" s="177"/>
      <c r="Q39" s="177"/>
      <c r="R39" s="177"/>
      <c r="T39" s="132"/>
      <c r="U39" s="7"/>
    </row>
    <row r="40">
      <c r="A40" s="8"/>
      <c r="B40" s="129">
        <f t="shared" si="9"/>
        <v>16</v>
      </c>
      <c r="C40" s="156" t="str">
        <f t="shared" si="10"/>
        <v> Doody</v>
      </c>
      <c r="D40" s="180"/>
      <c r="E40" s="179"/>
      <c r="F40" s="177"/>
      <c r="G40" s="177"/>
      <c r="H40" s="177"/>
      <c r="I40" s="177"/>
      <c r="K40" s="129">
        <f t="shared" si="11"/>
        <v>16</v>
      </c>
      <c r="L40" s="156" t="str">
        <f t="shared" si="12"/>
        <v> Gathy</v>
      </c>
      <c r="M40" s="208"/>
      <c r="N40" s="205"/>
      <c r="O40" s="177"/>
      <c r="P40" s="177"/>
      <c r="Q40" s="177"/>
      <c r="R40" s="177"/>
      <c r="T40" s="132"/>
      <c r="U40" s="7"/>
    </row>
    <row r="41">
      <c r="A41" s="14"/>
      <c r="B41" s="135">
        <f t="shared" si="9"/>
        <v>16</v>
      </c>
      <c r="C41" s="156" t="str">
        <f t="shared" si="10"/>
        <v> Morrison</v>
      </c>
      <c r="D41" s="180"/>
      <c r="E41" s="181"/>
      <c r="F41" s="177"/>
      <c r="G41" s="177"/>
      <c r="H41" s="177"/>
      <c r="I41" s="177"/>
      <c r="K41" s="135">
        <f t="shared" si="11"/>
        <v>16</v>
      </c>
      <c r="L41" s="156" t="str">
        <f t="shared" si="12"/>
        <v> Mies</v>
      </c>
      <c r="M41" s="206"/>
      <c r="N41" s="201"/>
      <c r="O41" s="177"/>
      <c r="P41" s="177"/>
      <c r="Q41" s="177"/>
      <c r="R41" s="177"/>
      <c r="T41" s="132"/>
      <c r="U41" s="7"/>
    </row>
    <row r="42">
      <c r="A42" s="8"/>
      <c r="B42" s="129">
        <f t="shared" si="9"/>
        <v>17</v>
      </c>
      <c r="C42" s="156" t="str">
        <f t="shared" si="10"/>
        <v> Doody</v>
      </c>
      <c r="D42" s="180"/>
      <c r="E42" s="181"/>
      <c r="F42" s="177"/>
      <c r="G42" s="177"/>
      <c r="H42" s="177"/>
      <c r="I42" s="177"/>
      <c r="K42" s="129">
        <f t="shared" si="11"/>
        <v>17</v>
      </c>
      <c r="L42" s="156" t="str">
        <f t="shared" si="12"/>
        <v> Gathy</v>
      </c>
      <c r="M42" s="208"/>
      <c r="N42" s="205"/>
      <c r="O42" s="177"/>
      <c r="P42" s="177"/>
      <c r="Q42" s="177"/>
      <c r="R42" s="177"/>
      <c r="T42" s="132"/>
      <c r="U42" s="7"/>
    </row>
    <row r="43">
      <c r="A43" s="14"/>
      <c r="B43" s="135">
        <f t="shared" si="9"/>
        <v>17</v>
      </c>
      <c r="C43" s="156" t="str">
        <f t="shared" si="10"/>
        <v> Morrison</v>
      </c>
      <c r="D43" s="178"/>
      <c r="E43" s="179"/>
      <c r="F43" s="177"/>
      <c r="G43" s="177"/>
      <c r="H43" s="177"/>
      <c r="I43" s="177"/>
      <c r="K43" s="135">
        <f t="shared" si="11"/>
        <v>17</v>
      </c>
      <c r="L43" s="156" t="str">
        <f t="shared" si="12"/>
        <v> Mies</v>
      </c>
      <c r="M43" s="180"/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Doody</v>
      </c>
      <c r="D44" s="180"/>
      <c r="E44" s="181"/>
      <c r="F44" s="177"/>
      <c r="G44" s="177"/>
      <c r="H44" s="177"/>
      <c r="I44" s="177"/>
      <c r="K44" s="129">
        <f t="shared" si="11"/>
        <v>18</v>
      </c>
      <c r="L44" s="156" t="str">
        <f t="shared" si="12"/>
        <v> Gathy</v>
      </c>
      <c r="M44" s="180"/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Morrison</v>
      </c>
      <c r="D45" s="180"/>
      <c r="E45" s="181"/>
      <c r="F45" s="177"/>
      <c r="G45" s="177"/>
      <c r="H45" s="177"/>
      <c r="I45" s="177"/>
      <c r="K45" s="129">
        <f t="shared" si="11"/>
        <v>18</v>
      </c>
      <c r="L45" s="156" t="str">
        <f t="shared" si="12"/>
        <v> Mies</v>
      </c>
      <c r="M45" s="180"/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Doody</v>
      </c>
      <c r="D46" s="180"/>
      <c r="E46" s="181"/>
      <c r="F46" s="177"/>
      <c r="G46" s="177"/>
      <c r="H46" s="177"/>
      <c r="I46" s="177"/>
      <c r="K46" s="135">
        <f t="shared" si="11"/>
        <v>19</v>
      </c>
      <c r="L46" s="156" t="str">
        <f t="shared" si="12"/>
        <v> Gathy</v>
      </c>
      <c r="M46" s="180"/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Morrison</v>
      </c>
      <c r="D47" s="180"/>
      <c r="E47" s="181"/>
      <c r="F47" s="177"/>
      <c r="G47" s="177"/>
      <c r="H47" s="177"/>
      <c r="I47" s="177"/>
      <c r="K47" s="129">
        <f t="shared" si="11"/>
        <v>19</v>
      </c>
      <c r="L47" s="156" t="str">
        <f t="shared" si="12"/>
        <v> Mies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Doody</v>
      </c>
      <c r="D48" s="180"/>
      <c r="E48" s="181"/>
      <c r="F48" s="177"/>
      <c r="G48" s="177"/>
      <c r="H48" s="177"/>
      <c r="I48" s="177"/>
      <c r="K48" s="135">
        <f t="shared" si="11"/>
        <v>20</v>
      </c>
      <c r="L48" s="156" t="str">
        <f t="shared" si="12"/>
        <v> Gathy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Morrison</v>
      </c>
      <c r="D49" s="178"/>
      <c r="E49" s="179"/>
      <c r="F49" s="177"/>
      <c r="G49" s="177"/>
      <c r="H49" s="177"/>
      <c r="I49" s="177"/>
      <c r="K49" s="129">
        <f t="shared" si="11"/>
        <v>20</v>
      </c>
      <c r="L49" s="156" t="str">
        <f t="shared" si="12"/>
        <v> Mies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Doody</v>
      </c>
      <c r="D50" s="180"/>
      <c r="E50" s="181"/>
      <c r="F50" s="177"/>
      <c r="G50" s="177"/>
      <c r="H50" s="177"/>
      <c r="I50" s="177"/>
      <c r="K50" s="129">
        <f t="shared" si="11"/>
        <v>21</v>
      </c>
      <c r="L50" s="156" t="str">
        <f t="shared" si="12"/>
        <v> Gathy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Morrison</v>
      </c>
      <c r="D51" s="180"/>
      <c r="E51" s="181"/>
      <c r="F51" s="177"/>
      <c r="G51" s="177"/>
      <c r="H51" s="177"/>
      <c r="I51" s="177"/>
      <c r="K51" s="135">
        <f t="shared" si="11"/>
        <v>21</v>
      </c>
      <c r="L51" s="156" t="str">
        <f t="shared" si="12"/>
        <v> Mies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Doody</v>
      </c>
      <c r="D52" s="178"/>
      <c r="E52" s="181"/>
      <c r="F52" s="177"/>
      <c r="G52" s="177"/>
      <c r="H52" s="177"/>
      <c r="I52" s="177"/>
      <c r="K52" s="129">
        <f t="shared" si="11"/>
        <v>22</v>
      </c>
      <c r="L52" s="156" t="str">
        <f t="shared" si="12"/>
        <v> Gathy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Morrison</v>
      </c>
      <c r="D53" s="178"/>
      <c r="E53" s="181"/>
      <c r="F53" s="177"/>
      <c r="G53" s="177"/>
      <c r="H53" s="177"/>
      <c r="I53" s="177"/>
      <c r="K53" s="135">
        <f t="shared" si="11"/>
        <v>22</v>
      </c>
      <c r="L53" s="156" t="str">
        <f t="shared" si="12"/>
        <v> Mies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Doody</v>
      </c>
      <c r="D54" s="178"/>
      <c r="E54" s="181"/>
      <c r="F54" s="177"/>
      <c r="G54" s="177"/>
      <c r="H54" s="177"/>
      <c r="I54" s="177"/>
      <c r="K54" s="129">
        <f t="shared" si="11"/>
        <v>23</v>
      </c>
      <c r="L54" s="156" t="str">
        <f t="shared" si="12"/>
        <v> Gathy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Morrison</v>
      </c>
      <c r="D55" s="178"/>
      <c r="E55" s="181"/>
      <c r="K55" s="135">
        <f t="shared" si="11"/>
        <v>23</v>
      </c>
      <c r="L55" s="156" t="str">
        <f t="shared" si="12"/>
        <v> Mies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Doody</v>
      </c>
      <c r="D56" s="178"/>
      <c r="E56" s="181"/>
      <c r="K56" s="129">
        <f t="shared" si="11"/>
        <v>24</v>
      </c>
      <c r="L56" s="156" t="str">
        <f t="shared" si="12"/>
        <v> Gathy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Morrison</v>
      </c>
      <c r="D57" s="178"/>
      <c r="E57" s="181"/>
      <c r="K57" s="129">
        <f t="shared" si="11"/>
        <v>24</v>
      </c>
      <c r="L57" s="156" t="str">
        <f t="shared" si="12"/>
        <v> Mies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Doody</v>
      </c>
      <c r="D58" s="178"/>
      <c r="E58" s="181"/>
      <c r="K58" s="135">
        <f t="shared" si="11"/>
        <v>25</v>
      </c>
      <c r="L58" s="156" t="str">
        <f t="shared" si="12"/>
        <v> Gathy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Morrison</v>
      </c>
      <c r="D59" s="178"/>
      <c r="E59" s="181"/>
      <c r="K59" s="129">
        <f t="shared" si="11"/>
        <v>25</v>
      </c>
      <c r="L59" s="156" t="str">
        <f t="shared" si="12"/>
        <v> Mies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Doody</v>
      </c>
      <c r="D60" s="178"/>
      <c r="E60" s="181"/>
      <c r="K60" s="135">
        <f t="shared" si="11"/>
        <v>26</v>
      </c>
      <c r="L60" s="156" t="str">
        <f t="shared" si="12"/>
        <v> Gathy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Morrison</v>
      </c>
      <c r="D61" s="178"/>
      <c r="E61" s="181"/>
      <c r="K61" s="129">
        <f t="shared" si="11"/>
        <v>26</v>
      </c>
      <c r="L61" s="156" t="str">
        <f t="shared" si="12"/>
        <v> Mies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Doody</v>
      </c>
      <c r="D62" s="178"/>
      <c r="E62" s="181"/>
      <c r="K62" s="135">
        <f t="shared" si="11"/>
        <v>27</v>
      </c>
      <c r="L62" s="156" t="str">
        <f t="shared" si="12"/>
        <v> Gathy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Morrison</v>
      </c>
      <c r="D63" s="178"/>
      <c r="E63" s="181"/>
      <c r="K63" s="129">
        <f t="shared" si="11"/>
        <v>27</v>
      </c>
      <c r="L63" s="156" t="str">
        <f t="shared" si="12"/>
        <v> Mies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Doody</v>
      </c>
      <c r="D64" s="178"/>
      <c r="E64" s="181"/>
      <c r="K64" s="135">
        <f t="shared" si="11"/>
        <v>28</v>
      </c>
      <c r="L64" s="156" t="str">
        <f t="shared" si="12"/>
        <v> Gathy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Morrison</v>
      </c>
      <c r="D65" s="178"/>
      <c r="E65" s="181"/>
      <c r="K65" s="129">
        <f t="shared" si="11"/>
        <v>28</v>
      </c>
      <c r="L65" s="156" t="str">
        <f t="shared" si="12"/>
        <v> Mies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Doody</v>
      </c>
      <c r="D66" s="178"/>
      <c r="E66" s="181"/>
      <c r="K66" s="135">
        <f t="shared" si="11"/>
        <v>29</v>
      </c>
      <c r="L66" s="156" t="str">
        <f t="shared" si="12"/>
        <v> Gathy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Morrison</v>
      </c>
      <c r="D67" s="178"/>
      <c r="E67" s="181"/>
      <c r="K67" s="135">
        <f t="shared" si="11"/>
        <v>29</v>
      </c>
      <c r="L67" s="156" t="str">
        <f t="shared" si="12"/>
        <v> Mies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Doody</v>
      </c>
      <c r="D68" s="178"/>
      <c r="E68" s="181"/>
      <c r="K68" s="135">
        <f t="shared" si="11"/>
        <v>30</v>
      </c>
      <c r="L68" s="156" t="str">
        <f t="shared" si="12"/>
        <v> Gathy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Morrison</v>
      </c>
      <c r="D69" s="178"/>
      <c r="E69" s="181"/>
      <c r="K69" s="135">
        <f t="shared" si="11"/>
        <v>30</v>
      </c>
      <c r="L69" s="156" t="str">
        <f t="shared" si="12"/>
        <v> Mies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Doody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Gathy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Morrison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Mies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Doody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Gathy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Morrison</v>
      </c>
      <c r="D73" s="178"/>
      <c r="E73" s="181"/>
      <c r="K73" s="129">
        <v>32.0</v>
      </c>
      <c r="L73" s="156" t="str">
        <f t="shared" si="12"/>
        <v> Mies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Doody</v>
      </c>
      <c r="D74" s="192"/>
      <c r="E74" s="181"/>
      <c r="K74" s="129">
        <v>33.0</v>
      </c>
      <c r="L74" s="156" t="str">
        <f t="shared" si="12"/>
        <v> Gathy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Morrison</v>
      </c>
      <c r="D75" s="178"/>
      <c r="E75" s="181"/>
      <c r="K75" s="129">
        <v>33.0</v>
      </c>
      <c r="L75" s="156" t="str">
        <f t="shared" si="12"/>
        <v> Mies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Doody</v>
      </c>
      <c r="D76" s="178"/>
      <c r="E76" s="181"/>
      <c r="K76" s="129">
        <v>34.0</v>
      </c>
      <c r="L76" s="156" t="str">
        <f t="shared" si="12"/>
        <v> Gathy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Morrison</v>
      </c>
      <c r="D77" s="178"/>
      <c r="E77" s="181"/>
      <c r="K77" s="129">
        <v>34.0</v>
      </c>
      <c r="L77" s="156" t="str">
        <f t="shared" si="12"/>
        <v> Mies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Doody</v>
      </c>
      <c r="D78" s="178"/>
      <c r="E78" s="181"/>
      <c r="K78" s="129">
        <v>35.0</v>
      </c>
      <c r="L78" s="156" t="str">
        <f t="shared" si="12"/>
        <v> Gathy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Morrison</v>
      </c>
      <c r="D79" s="178"/>
      <c r="E79" s="181"/>
      <c r="K79" s="129">
        <v>35.0</v>
      </c>
      <c r="L79" s="156" t="str">
        <f t="shared" si="12"/>
        <v> Mies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Doody</v>
      </c>
      <c r="D80" s="178"/>
      <c r="E80" s="181"/>
      <c r="K80" s="129">
        <v>36.0</v>
      </c>
      <c r="L80" s="156" t="str">
        <f t="shared" si="12"/>
        <v> Gathy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Morrison</v>
      </c>
      <c r="D81" s="178"/>
      <c r="E81" s="181"/>
      <c r="K81" s="129">
        <v>36.0</v>
      </c>
      <c r="L81" s="156" t="str">
        <f t="shared" si="12"/>
        <v> Mies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Doody</v>
      </c>
      <c r="D82" s="178"/>
      <c r="E82" s="181"/>
      <c r="K82" s="129">
        <v>37.0</v>
      </c>
      <c r="L82" s="156" t="str">
        <f t="shared" si="12"/>
        <v> Gathy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Morrison</v>
      </c>
      <c r="D83" s="178"/>
      <c r="E83" s="181"/>
      <c r="K83" s="129">
        <v>37.0</v>
      </c>
      <c r="L83" s="156" t="str">
        <f t="shared" si="12"/>
        <v> Mies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Doody</v>
      </c>
      <c r="D84" s="178"/>
      <c r="E84" s="181"/>
      <c r="K84" s="129">
        <v>38.0</v>
      </c>
      <c r="L84" s="156" t="str">
        <f t="shared" si="12"/>
        <v> Gathy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Morrison</v>
      </c>
      <c r="D85" s="178"/>
      <c r="E85" s="181"/>
      <c r="K85" s="129">
        <v>38.0</v>
      </c>
      <c r="L85" s="156" t="str">
        <f t="shared" si="12"/>
        <v> Mies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Doody</v>
      </c>
      <c r="D86" s="178"/>
      <c r="E86" s="181"/>
      <c r="K86" s="129">
        <v>39.0</v>
      </c>
      <c r="L86" s="156" t="str">
        <f t="shared" si="12"/>
        <v> Gathy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Morrison</v>
      </c>
      <c r="D87" s="178"/>
      <c r="E87" s="181"/>
      <c r="K87" s="129">
        <v>39.0</v>
      </c>
      <c r="L87" s="156" t="str">
        <f t="shared" si="12"/>
        <v> Mies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Doody</v>
      </c>
      <c r="D88" s="178"/>
      <c r="E88" s="181"/>
      <c r="K88" s="129">
        <v>40.0</v>
      </c>
      <c r="L88" s="156" t="str">
        <f t="shared" si="12"/>
        <v> Gathy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Morrison</v>
      </c>
      <c r="D89" s="178"/>
      <c r="E89" s="181"/>
      <c r="K89" s="129">
        <v>40.0</v>
      </c>
      <c r="L89" s="156" t="str">
        <f t="shared" si="12"/>
        <v> Mies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97</v>
      </c>
      <c r="D3" s="189">
        <f t="shared" ref="D3:J3" si="1">SUMPRODUCT(D10:D90,MOD(ROW(D10:D90),2)=0)</f>
        <v>11</v>
      </c>
      <c r="E3" s="189">
        <f t="shared" si="1"/>
        <v>1</v>
      </c>
      <c r="F3" s="189">
        <f t="shared" si="1"/>
        <v>0</v>
      </c>
      <c r="G3" s="189">
        <f t="shared" si="1"/>
        <v>0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85</v>
      </c>
      <c r="M3" s="189">
        <f t="shared" ref="M3:S3" si="2">SUMPRODUCT(M10:M90,MOD(ROW(M10:M90),2)=0)</f>
        <v>10</v>
      </c>
      <c r="N3" s="189">
        <f t="shared" si="2"/>
        <v>4</v>
      </c>
      <c r="O3" s="189">
        <f t="shared" si="2"/>
        <v>0</v>
      </c>
      <c r="P3" s="189">
        <f t="shared" si="2"/>
        <v>0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80</v>
      </c>
      <c r="D4" s="191">
        <f t="shared" ref="D4:J4" si="3">SUMPRODUCT(D10:D90,MOD(ROW(D10:D90),2))</f>
        <v>7</v>
      </c>
      <c r="E4" s="191">
        <f t="shared" si="3"/>
        <v>5</v>
      </c>
      <c r="F4" s="191">
        <f t="shared" si="3"/>
        <v>0</v>
      </c>
      <c r="G4" s="191">
        <f t="shared" si="3"/>
        <v>0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76</v>
      </c>
      <c r="M4" s="191">
        <f t="shared" ref="M4:S4" si="4">SUMPRODUCT(M10:M90,MOD(ROW(M10:M90),2))</f>
        <v>8</v>
      </c>
      <c r="N4" s="191">
        <f t="shared" si="4"/>
        <v>6</v>
      </c>
      <c r="O4" s="191">
        <f t="shared" si="4"/>
        <v>0</v>
      </c>
      <c r="P4" s="191">
        <f t="shared" si="4"/>
        <v>2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Wallwork %</v>
      </c>
      <c r="D5" s="137">
        <f t="shared" ref="D5:D6" si="6">IFERROR((E3/(E3+D3)),0)</f>
        <v>0.08333333333</v>
      </c>
      <c r="K5" s="135"/>
      <c r="L5" s="136" t="str">
        <f t="shared" ref="L5:L6" si="7">IFERROR((L10 &amp;" %"), "")</f>
        <v> Brandon %</v>
      </c>
      <c r="M5" s="137">
        <f t="shared" ref="M5:M6" si="8">IFERROR((N3/(N3+M3)),0)</f>
        <v>0.2857142857</v>
      </c>
      <c r="S5" s="132"/>
      <c r="T5" s="132"/>
      <c r="U5" s="7"/>
    </row>
    <row r="6">
      <c r="A6" s="14"/>
      <c r="B6" s="138"/>
      <c r="C6" s="139" t="str">
        <f t="shared" si="5"/>
        <v> Shenoy %</v>
      </c>
      <c r="D6" s="140">
        <f t="shared" si="6"/>
        <v>0.4166666667</v>
      </c>
      <c r="E6" s="141"/>
      <c r="F6" s="141"/>
      <c r="G6" s="141"/>
      <c r="H6" s="141"/>
      <c r="I6" s="141"/>
      <c r="J6" s="141"/>
      <c r="K6" s="138"/>
      <c r="L6" s="139" t="str">
        <f t="shared" si="7"/>
        <v> Lawry %</v>
      </c>
      <c r="M6" s="142">
        <f t="shared" si="8"/>
        <v>0.4285714286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Wallwork")</f>
        <v> Wallwork</v>
      </c>
      <c r="D10" s="200">
        <v>1.0</v>
      </c>
      <c r="E10" s="205"/>
      <c r="F10" s="199"/>
      <c r="G10" s="199"/>
      <c r="H10" s="177"/>
      <c r="I10" s="177"/>
      <c r="K10" s="129">
        <v>1.0</v>
      </c>
      <c r="L10" s="136" t="str">
        <f>IFERROR(__xludf.DUMMYFUNCTION("REGEXEXTRACT(L3, ""( .*)+"")")," Brandon")</f>
        <v> Brandon</v>
      </c>
      <c r="M10" s="200">
        <v>1.0</v>
      </c>
      <c r="N10" s="201"/>
      <c r="O10" s="177"/>
      <c r="P10" s="199"/>
      <c r="Q10" s="177"/>
      <c r="R10" s="177"/>
      <c r="T10" s="132"/>
      <c r="U10" s="7"/>
    </row>
    <row r="11">
      <c r="A11" s="8"/>
      <c r="B11" s="129">
        <v>1.0</v>
      </c>
      <c r="C11" s="136" t="str">
        <f>IFERROR(__xludf.DUMMYFUNCTION("REGEXEXTRACT(C4, ""( .*)+"")")," Shenoy")</f>
        <v> Shenoy</v>
      </c>
      <c r="D11" s="208"/>
      <c r="E11" s="207">
        <v>1.0</v>
      </c>
      <c r="F11" s="177"/>
      <c r="G11" s="177"/>
      <c r="H11" s="177"/>
      <c r="I11" s="177"/>
      <c r="K11" s="129">
        <v>1.0</v>
      </c>
      <c r="L11" s="136" t="str">
        <f>IFERROR(__xludf.DUMMYFUNCTION("REGEXEXTRACT(L4, ""( .*)+"")")," Lawry")</f>
        <v> Lawry</v>
      </c>
      <c r="M11" s="208"/>
      <c r="N11" s="207">
        <v>1.0</v>
      </c>
      <c r="O11" s="177"/>
      <c r="P11" s="177"/>
      <c r="Q11" s="177"/>
      <c r="R11" s="177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Wallwork</v>
      </c>
      <c r="D12" s="202">
        <v>1.0</v>
      </c>
      <c r="E12" s="203"/>
      <c r="F12" s="177"/>
      <c r="G12" s="177"/>
      <c r="H12" s="177"/>
      <c r="I12" s="177"/>
      <c r="K12" s="129">
        <f t="shared" ref="K12:K69" si="11">K10+1</f>
        <v>2</v>
      </c>
      <c r="L12" s="156" t="str">
        <f t="shared" ref="L12:L89" si="12">L10</f>
        <v> Brandon</v>
      </c>
      <c r="M12" s="200">
        <v>1.0</v>
      </c>
      <c r="N12" s="201"/>
      <c r="O12" s="177"/>
      <c r="P12" s="177"/>
      <c r="Q12" s="177"/>
      <c r="R12" s="177"/>
      <c r="T12" s="132"/>
      <c r="U12" s="7"/>
    </row>
    <row r="13">
      <c r="A13" s="14"/>
      <c r="B13" s="135">
        <f t="shared" si="9"/>
        <v>2</v>
      </c>
      <c r="C13" s="156" t="str">
        <f t="shared" si="10"/>
        <v> Shenoy</v>
      </c>
      <c r="D13" s="200">
        <v>1.0</v>
      </c>
      <c r="E13" s="201"/>
      <c r="F13" s="177"/>
      <c r="G13" s="191"/>
      <c r="H13" s="177"/>
      <c r="I13" s="177"/>
      <c r="K13" s="135">
        <f t="shared" si="11"/>
        <v>2</v>
      </c>
      <c r="L13" s="156" t="str">
        <f t="shared" si="12"/>
        <v> Lawry</v>
      </c>
      <c r="M13" s="202">
        <v>1.0</v>
      </c>
      <c r="N13" s="188"/>
      <c r="O13" s="177"/>
      <c r="P13" s="177"/>
      <c r="Q13" s="177"/>
      <c r="R13" s="177"/>
      <c r="T13" s="132"/>
      <c r="U13" s="7"/>
    </row>
    <row r="14">
      <c r="A14" s="8"/>
      <c r="B14" s="129">
        <f t="shared" si="9"/>
        <v>3</v>
      </c>
      <c r="C14" s="156" t="str">
        <f t="shared" si="10"/>
        <v> Wallwork</v>
      </c>
      <c r="D14" s="202">
        <v>1.0</v>
      </c>
      <c r="E14" s="203"/>
      <c r="F14" s="177"/>
      <c r="G14" s="177"/>
      <c r="H14" s="177"/>
      <c r="I14" s="177"/>
      <c r="K14" s="129">
        <f t="shared" si="11"/>
        <v>3</v>
      </c>
      <c r="L14" s="156" t="str">
        <f t="shared" si="12"/>
        <v> Brandon</v>
      </c>
      <c r="M14" s="208"/>
      <c r="N14" s="207">
        <v>1.0</v>
      </c>
      <c r="O14" s="177"/>
      <c r="P14" s="177"/>
      <c r="Q14" s="177"/>
      <c r="R14" s="177"/>
      <c r="T14" s="132"/>
      <c r="U14" s="7"/>
    </row>
    <row r="15">
      <c r="A15" s="14"/>
      <c r="B15" s="135">
        <f t="shared" si="9"/>
        <v>3</v>
      </c>
      <c r="C15" s="156" t="str">
        <f t="shared" si="10"/>
        <v> Shenoy</v>
      </c>
      <c r="D15" s="197"/>
      <c r="E15" s="198">
        <v>1.0</v>
      </c>
      <c r="F15" s="177"/>
      <c r="G15" s="177"/>
      <c r="H15" s="177"/>
      <c r="I15" s="177"/>
      <c r="K15" s="135">
        <f t="shared" si="11"/>
        <v>3</v>
      </c>
      <c r="L15" s="156" t="str">
        <f t="shared" si="12"/>
        <v> Lawry</v>
      </c>
      <c r="M15" s="197"/>
      <c r="N15" s="198">
        <v>1.0</v>
      </c>
      <c r="O15" s="177"/>
      <c r="P15" s="177"/>
      <c r="Q15" s="177"/>
      <c r="R15" s="177"/>
      <c r="T15" s="132"/>
      <c r="U15" s="7"/>
    </row>
    <row r="16">
      <c r="A16" s="8"/>
      <c r="B16" s="129">
        <f t="shared" si="9"/>
        <v>4</v>
      </c>
      <c r="C16" s="156" t="str">
        <f t="shared" si="10"/>
        <v> Wallwork</v>
      </c>
      <c r="D16" s="200">
        <v>1.0</v>
      </c>
      <c r="E16" s="205"/>
      <c r="F16" s="177"/>
      <c r="G16" s="177"/>
      <c r="H16" s="177"/>
      <c r="I16" s="177"/>
      <c r="K16" s="129">
        <f t="shared" si="11"/>
        <v>4</v>
      </c>
      <c r="L16" s="156" t="str">
        <f t="shared" si="12"/>
        <v> Brandon</v>
      </c>
      <c r="M16" s="200">
        <v>1.0</v>
      </c>
      <c r="N16" s="205"/>
      <c r="O16" s="177"/>
      <c r="P16" s="177"/>
      <c r="Q16" s="177"/>
      <c r="R16" s="177"/>
      <c r="T16" s="132"/>
      <c r="U16" s="7"/>
    </row>
    <row r="17">
      <c r="A17" s="14"/>
      <c r="B17" s="135">
        <f t="shared" si="9"/>
        <v>4</v>
      </c>
      <c r="C17" s="156" t="str">
        <f t="shared" si="10"/>
        <v> Shenoy</v>
      </c>
      <c r="D17" s="200">
        <v>1.0</v>
      </c>
      <c r="E17" s="201"/>
      <c r="F17" s="177"/>
      <c r="G17" s="177"/>
      <c r="H17" s="177"/>
      <c r="I17" s="177"/>
      <c r="K17" s="135">
        <f t="shared" si="11"/>
        <v>4</v>
      </c>
      <c r="L17" s="156" t="str">
        <f t="shared" si="12"/>
        <v> Lawry</v>
      </c>
      <c r="M17" s="202">
        <v>1.0</v>
      </c>
      <c r="N17" s="203"/>
      <c r="O17" s="177"/>
      <c r="P17" s="177"/>
      <c r="Q17" s="177"/>
      <c r="R17" s="177"/>
      <c r="T17" s="132"/>
      <c r="U17" s="7"/>
    </row>
    <row r="18">
      <c r="A18" s="8"/>
      <c r="B18" s="129">
        <f t="shared" si="9"/>
        <v>5</v>
      </c>
      <c r="C18" s="156" t="str">
        <f t="shared" si="10"/>
        <v> Wallwork</v>
      </c>
      <c r="D18" s="200">
        <v>1.0</v>
      </c>
      <c r="E18" s="201"/>
      <c r="F18" s="177"/>
      <c r="G18" s="191"/>
      <c r="H18" s="177"/>
      <c r="I18" s="177"/>
      <c r="K18" s="129">
        <f t="shared" si="11"/>
        <v>5</v>
      </c>
      <c r="L18" s="156" t="str">
        <f t="shared" si="12"/>
        <v> Brandon</v>
      </c>
      <c r="M18" s="197"/>
      <c r="N18" s="198">
        <v>1.0</v>
      </c>
      <c r="O18" s="177"/>
      <c r="P18" s="177"/>
      <c r="Q18" s="177"/>
      <c r="R18" s="177"/>
      <c r="T18" s="132"/>
      <c r="U18" s="7"/>
    </row>
    <row r="19">
      <c r="A19" s="14"/>
      <c r="B19" s="135">
        <f t="shared" si="9"/>
        <v>5</v>
      </c>
      <c r="C19" s="156" t="str">
        <f t="shared" si="10"/>
        <v> Shenoy</v>
      </c>
      <c r="D19" s="197"/>
      <c r="E19" s="198">
        <v>1.0</v>
      </c>
      <c r="F19" s="177"/>
      <c r="G19" s="177"/>
      <c r="H19" s="177"/>
      <c r="I19" s="177"/>
      <c r="K19" s="135">
        <f t="shared" si="11"/>
        <v>5</v>
      </c>
      <c r="L19" s="156" t="str">
        <f t="shared" si="12"/>
        <v> Lawry</v>
      </c>
      <c r="M19" s="206"/>
      <c r="N19" s="207">
        <v>1.0</v>
      </c>
      <c r="O19" s="177"/>
      <c r="P19" s="177"/>
      <c r="Q19" s="177"/>
      <c r="R19" s="177"/>
      <c r="T19" s="132"/>
      <c r="U19" s="7"/>
    </row>
    <row r="20">
      <c r="A20" s="8"/>
      <c r="B20" s="129">
        <f t="shared" si="9"/>
        <v>6</v>
      </c>
      <c r="C20" s="156" t="str">
        <f t="shared" si="10"/>
        <v> Wallwork</v>
      </c>
      <c r="D20" s="200">
        <v>1.0</v>
      </c>
      <c r="E20" s="201"/>
      <c r="F20" s="177"/>
      <c r="G20" s="177"/>
      <c r="H20" s="177"/>
      <c r="I20" s="177"/>
      <c r="K20" s="129">
        <f t="shared" si="11"/>
        <v>6</v>
      </c>
      <c r="L20" s="156" t="str">
        <f t="shared" si="12"/>
        <v> Brandon</v>
      </c>
      <c r="M20" s="200">
        <v>1.0</v>
      </c>
      <c r="N20" s="205"/>
      <c r="O20" s="177"/>
      <c r="P20" s="177"/>
      <c r="Q20" s="177"/>
      <c r="R20" s="177"/>
      <c r="T20" s="132"/>
      <c r="U20" s="7"/>
    </row>
    <row r="21">
      <c r="A21" s="14"/>
      <c r="B21" s="135">
        <f t="shared" si="9"/>
        <v>6</v>
      </c>
      <c r="C21" s="156" t="str">
        <f t="shared" si="10"/>
        <v> Shenoy</v>
      </c>
      <c r="D21" s="197"/>
      <c r="E21" s="198">
        <v>1.0</v>
      </c>
      <c r="F21" s="177"/>
      <c r="G21" s="177"/>
      <c r="H21" s="177"/>
      <c r="I21" s="177"/>
      <c r="K21" s="135">
        <f t="shared" si="11"/>
        <v>6</v>
      </c>
      <c r="L21" s="156" t="str">
        <f t="shared" si="12"/>
        <v> Lawry</v>
      </c>
      <c r="M21" s="197"/>
      <c r="N21" s="198">
        <v>1.0</v>
      </c>
      <c r="O21" s="177"/>
      <c r="P21" s="177"/>
      <c r="Q21" s="177"/>
      <c r="R21" s="177"/>
      <c r="T21" s="132"/>
      <c r="U21" s="7"/>
    </row>
    <row r="22">
      <c r="A22" s="8"/>
      <c r="B22" s="129">
        <f t="shared" si="9"/>
        <v>7</v>
      </c>
      <c r="C22" s="156" t="str">
        <f t="shared" si="10"/>
        <v> Wallwork</v>
      </c>
      <c r="D22" s="202">
        <v>1.0</v>
      </c>
      <c r="E22" s="188"/>
      <c r="F22" s="177"/>
      <c r="G22" s="177"/>
      <c r="H22" s="177"/>
      <c r="I22" s="177"/>
      <c r="K22" s="129">
        <f t="shared" si="11"/>
        <v>7</v>
      </c>
      <c r="L22" s="156" t="str">
        <f t="shared" si="12"/>
        <v> Brandon</v>
      </c>
      <c r="M22" s="200">
        <v>1.0</v>
      </c>
      <c r="N22" s="205"/>
      <c r="O22" s="177"/>
      <c r="P22" s="177"/>
      <c r="Q22" s="177"/>
      <c r="R22" s="177"/>
      <c r="T22" s="132"/>
      <c r="U22" s="7"/>
    </row>
    <row r="23">
      <c r="A23" s="14"/>
      <c r="B23" s="135">
        <f t="shared" si="9"/>
        <v>7</v>
      </c>
      <c r="C23" s="156" t="str">
        <f t="shared" si="10"/>
        <v> Shenoy</v>
      </c>
      <c r="D23" s="200">
        <v>1.0</v>
      </c>
      <c r="E23" s="205"/>
      <c r="F23" s="177"/>
      <c r="G23" s="177"/>
      <c r="H23" s="177"/>
      <c r="I23" s="177"/>
      <c r="K23" s="135">
        <f t="shared" si="11"/>
        <v>7</v>
      </c>
      <c r="L23" s="156" t="str">
        <f t="shared" si="12"/>
        <v> Lawry</v>
      </c>
      <c r="M23" s="197"/>
      <c r="N23" s="198">
        <v>1.0</v>
      </c>
      <c r="O23" s="177"/>
      <c r="P23" s="177"/>
      <c r="Q23" s="177"/>
      <c r="R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 Wallwork</v>
      </c>
      <c r="D24" s="197"/>
      <c r="E24" s="198">
        <v>1.0</v>
      </c>
      <c r="F24" s="177"/>
      <c r="G24" s="177"/>
      <c r="H24" s="177"/>
      <c r="I24" s="177"/>
      <c r="K24" s="129">
        <f t="shared" si="11"/>
        <v>8</v>
      </c>
      <c r="L24" s="156" t="str">
        <f t="shared" si="12"/>
        <v> Brandon</v>
      </c>
      <c r="M24" s="202">
        <v>1.0</v>
      </c>
      <c r="N24" s="188"/>
      <c r="O24" s="177"/>
      <c r="P24" s="177"/>
      <c r="Q24" s="177"/>
      <c r="R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 Shenoy</v>
      </c>
      <c r="D25" s="202">
        <v>1.0</v>
      </c>
      <c r="E25" s="188"/>
      <c r="F25" s="177"/>
      <c r="G25" s="177"/>
      <c r="H25" s="177"/>
      <c r="I25" s="177"/>
      <c r="K25" s="135">
        <f t="shared" si="11"/>
        <v>8</v>
      </c>
      <c r="L25" s="156" t="str">
        <f t="shared" si="12"/>
        <v> Lawry</v>
      </c>
      <c r="M25" s="206"/>
      <c r="N25" s="207">
        <v>1.0</v>
      </c>
      <c r="O25" s="177"/>
      <c r="P25" s="177"/>
      <c r="Q25" s="177"/>
      <c r="R25" s="177"/>
      <c r="T25" s="132"/>
      <c r="U25" s="7"/>
    </row>
    <row r="26">
      <c r="A26" s="8"/>
      <c r="B26" s="129">
        <f t="shared" si="9"/>
        <v>9</v>
      </c>
      <c r="C26" s="156" t="str">
        <f t="shared" si="10"/>
        <v> Wallwork</v>
      </c>
      <c r="D26" s="202">
        <v>1.0</v>
      </c>
      <c r="E26" s="188"/>
      <c r="F26" s="177"/>
      <c r="G26" s="177"/>
      <c r="H26" s="177"/>
      <c r="I26" s="177"/>
      <c r="K26" s="129">
        <f t="shared" si="11"/>
        <v>9</v>
      </c>
      <c r="L26" s="156" t="str">
        <f t="shared" si="12"/>
        <v> Brandon</v>
      </c>
      <c r="M26" s="197"/>
      <c r="N26" s="198">
        <v>1.0</v>
      </c>
      <c r="O26" s="177"/>
      <c r="P26" s="177"/>
      <c r="Q26" s="177"/>
      <c r="R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 Shenoy</v>
      </c>
      <c r="D27" s="208"/>
      <c r="E27" s="207">
        <v>1.0</v>
      </c>
      <c r="F27" s="177"/>
      <c r="G27" s="177"/>
      <c r="H27" s="177"/>
      <c r="I27" s="177"/>
      <c r="K27" s="135">
        <f t="shared" si="11"/>
        <v>9</v>
      </c>
      <c r="L27" s="156" t="str">
        <f t="shared" si="12"/>
        <v> Lawry</v>
      </c>
      <c r="M27" s="200">
        <v>1.0</v>
      </c>
      <c r="N27" s="205"/>
      <c r="O27" s="177"/>
      <c r="P27" s="177"/>
      <c r="Q27" s="177"/>
      <c r="R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 Wallwork</v>
      </c>
      <c r="D28" s="200">
        <v>1.0</v>
      </c>
      <c r="E28" s="205"/>
      <c r="F28" s="177"/>
      <c r="G28" s="191"/>
      <c r="H28" s="177"/>
      <c r="I28" s="177"/>
      <c r="K28" s="129">
        <f t="shared" si="11"/>
        <v>10</v>
      </c>
      <c r="L28" s="156" t="str">
        <f t="shared" si="12"/>
        <v> Brandon</v>
      </c>
      <c r="M28" s="200">
        <v>1.0</v>
      </c>
      <c r="N28" s="205"/>
      <c r="O28" s="177"/>
      <c r="P28" s="177"/>
      <c r="Q28" s="177"/>
      <c r="R28" s="177"/>
      <c r="T28" s="132"/>
      <c r="U28" s="7"/>
    </row>
    <row r="29">
      <c r="A29" s="14"/>
      <c r="B29" s="135">
        <f t="shared" si="9"/>
        <v>10</v>
      </c>
      <c r="C29" s="156" t="str">
        <f t="shared" si="10"/>
        <v> Shenoy</v>
      </c>
      <c r="D29" s="200">
        <v>1.0</v>
      </c>
      <c r="E29" s="205"/>
      <c r="F29" s="177"/>
      <c r="G29" s="177"/>
      <c r="H29" s="177"/>
      <c r="I29" s="177"/>
      <c r="K29" s="135">
        <f t="shared" si="11"/>
        <v>10</v>
      </c>
      <c r="L29" s="156" t="str">
        <f t="shared" si="12"/>
        <v> Lawry</v>
      </c>
      <c r="M29" s="200">
        <v>1.0</v>
      </c>
      <c r="N29" s="205"/>
      <c r="O29" s="177"/>
      <c r="P29" s="177"/>
      <c r="Q29" s="177"/>
      <c r="R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 Wallwork</v>
      </c>
      <c r="D30" s="200">
        <v>1.0</v>
      </c>
      <c r="E30" s="205"/>
      <c r="F30" s="177"/>
      <c r="G30" s="177"/>
      <c r="H30" s="177"/>
      <c r="I30" s="177"/>
      <c r="K30" s="129">
        <f t="shared" si="11"/>
        <v>11</v>
      </c>
      <c r="L30" s="156" t="str">
        <f t="shared" si="12"/>
        <v> Brandon</v>
      </c>
      <c r="M30" s="200">
        <v>1.0</v>
      </c>
      <c r="N30" s="205"/>
      <c r="O30" s="177"/>
      <c r="P30" s="177"/>
      <c r="Q30" s="177"/>
      <c r="R30" s="177"/>
      <c r="T30" s="132"/>
      <c r="U30" s="7"/>
    </row>
    <row r="31">
      <c r="A31" s="14"/>
      <c r="B31" s="135">
        <f t="shared" si="9"/>
        <v>11</v>
      </c>
      <c r="C31" s="156" t="str">
        <f t="shared" si="10"/>
        <v> Shenoy</v>
      </c>
      <c r="D31" s="200">
        <v>1.0</v>
      </c>
      <c r="E31" s="205"/>
      <c r="F31" s="177"/>
      <c r="G31" s="177"/>
      <c r="H31" s="177"/>
      <c r="I31" s="177"/>
      <c r="K31" s="135">
        <f t="shared" si="11"/>
        <v>11</v>
      </c>
      <c r="L31" s="156" t="str">
        <f t="shared" si="12"/>
        <v> Lawry</v>
      </c>
      <c r="M31" s="202">
        <v>1.0</v>
      </c>
      <c r="N31" s="203"/>
      <c r="O31" s="177"/>
      <c r="P31" s="177"/>
      <c r="Q31" s="177"/>
      <c r="R31" s="177"/>
      <c r="T31" s="132"/>
      <c r="U31" s="7"/>
    </row>
    <row r="32">
      <c r="A32" s="8"/>
      <c r="B32" s="129">
        <f t="shared" si="9"/>
        <v>12</v>
      </c>
      <c r="C32" s="156" t="str">
        <f t="shared" si="10"/>
        <v> Wallwork</v>
      </c>
      <c r="D32" s="200">
        <v>1.0</v>
      </c>
      <c r="E32" s="205"/>
      <c r="F32" s="177"/>
      <c r="G32" s="177"/>
      <c r="H32" s="177"/>
      <c r="I32" s="177"/>
      <c r="K32" s="129">
        <f t="shared" si="11"/>
        <v>12</v>
      </c>
      <c r="L32" s="156" t="str">
        <f t="shared" si="12"/>
        <v> Brandon</v>
      </c>
      <c r="M32" s="200">
        <v>1.0</v>
      </c>
      <c r="N32" s="205"/>
      <c r="O32" s="177"/>
      <c r="P32" s="177"/>
      <c r="Q32" s="177"/>
      <c r="R32" s="177"/>
      <c r="T32" s="132"/>
      <c r="U32" s="7"/>
    </row>
    <row r="33">
      <c r="A33" s="14"/>
      <c r="B33" s="135">
        <f t="shared" si="9"/>
        <v>12</v>
      </c>
      <c r="C33" s="156" t="str">
        <f t="shared" si="10"/>
        <v> Shenoy</v>
      </c>
      <c r="D33" s="200">
        <v>1.0</v>
      </c>
      <c r="E33" s="205"/>
      <c r="F33" s="177"/>
      <c r="G33" s="177"/>
      <c r="H33" s="177"/>
      <c r="I33" s="177"/>
      <c r="K33" s="135">
        <f t="shared" si="11"/>
        <v>12</v>
      </c>
      <c r="L33" s="156" t="str">
        <f t="shared" si="12"/>
        <v> Lawry</v>
      </c>
      <c r="M33" s="200">
        <v>1.0</v>
      </c>
      <c r="N33" s="201"/>
      <c r="O33" s="177"/>
      <c r="P33" s="127">
        <v>1.0</v>
      </c>
      <c r="Q33" s="177"/>
      <c r="R33" s="177"/>
      <c r="T33" s="132"/>
      <c r="U33" s="7"/>
    </row>
    <row r="34">
      <c r="A34" s="8"/>
      <c r="B34" s="129">
        <f t="shared" si="9"/>
        <v>13</v>
      </c>
      <c r="C34" s="156" t="str">
        <f t="shared" si="10"/>
        <v> Wallwork</v>
      </c>
      <c r="D34" s="197"/>
      <c r="E34" s="205"/>
      <c r="F34" s="177"/>
      <c r="G34" s="177"/>
      <c r="H34" s="177"/>
      <c r="I34" s="177"/>
      <c r="K34" s="129">
        <f t="shared" si="11"/>
        <v>13</v>
      </c>
      <c r="L34" s="156" t="str">
        <f t="shared" si="12"/>
        <v> Brandon</v>
      </c>
      <c r="M34" s="202">
        <v>1.0</v>
      </c>
      <c r="N34" s="188"/>
      <c r="O34" s="177"/>
      <c r="P34" s="177"/>
      <c r="Q34" s="177"/>
      <c r="R34" s="177"/>
      <c r="T34" s="132"/>
      <c r="U34" s="7"/>
    </row>
    <row r="35">
      <c r="A35" s="14"/>
      <c r="B35" s="135">
        <f t="shared" si="9"/>
        <v>13</v>
      </c>
      <c r="C35" s="156" t="str">
        <f t="shared" si="10"/>
        <v> Shenoy</v>
      </c>
      <c r="D35" s="208"/>
      <c r="E35" s="188"/>
      <c r="F35" s="177"/>
      <c r="G35" s="177"/>
      <c r="H35" s="177"/>
      <c r="I35" s="177"/>
      <c r="K35" s="135">
        <f t="shared" si="11"/>
        <v>13</v>
      </c>
      <c r="L35" s="156" t="str">
        <f t="shared" si="12"/>
        <v> Lawry</v>
      </c>
      <c r="M35" s="200">
        <v>1.0</v>
      </c>
      <c r="N35" s="205"/>
      <c r="O35" s="177"/>
      <c r="P35" s="177"/>
      <c r="Q35" s="177"/>
      <c r="R35" s="177"/>
      <c r="T35" s="132"/>
      <c r="U35" s="7"/>
    </row>
    <row r="36">
      <c r="A36" s="8"/>
      <c r="B36" s="129">
        <f t="shared" si="9"/>
        <v>14</v>
      </c>
      <c r="C36" s="156" t="str">
        <f t="shared" si="10"/>
        <v> Wallwork</v>
      </c>
      <c r="D36" s="208"/>
      <c r="E36" s="205"/>
      <c r="F36" s="177"/>
      <c r="G36" s="177"/>
      <c r="H36" s="177"/>
      <c r="I36" s="177"/>
      <c r="K36" s="129">
        <f t="shared" si="11"/>
        <v>14</v>
      </c>
      <c r="L36" s="156" t="str">
        <f t="shared" si="12"/>
        <v> Brandon</v>
      </c>
      <c r="M36" s="208"/>
      <c r="N36" s="198">
        <v>1.0</v>
      </c>
      <c r="O36" s="177"/>
      <c r="P36" s="177"/>
      <c r="Q36" s="177"/>
      <c r="R36" s="177"/>
      <c r="T36" s="132"/>
      <c r="U36" s="7"/>
    </row>
    <row r="37">
      <c r="A37" s="14"/>
      <c r="B37" s="135">
        <f t="shared" si="9"/>
        <v>14</v>
      </c>
      <c r="C37" s="156" t="str">
        <f t="shared" si="10"/>
        <v> Shenoy</v>
      </c>
      <c r="D37" s="208"/>
      <c r="E37" s="188"/>
      <c r="F37" s="177"/>
      <c r="G37" s="177"/>
      <c r="H37" s="177"/>
      <c r="I37" s="177"/>
      <c r="K37" s="135">
        <f t="shared" si="11"/>
        <v>14</v>
      </c>
      <c r="L37" s="156" t="str">
        <f t="shared" si="12"/>
        <v> Lawry</v>
      </c>
      <c r="M37" s="202">
        <v>1.0</v>
      </c>
      <c r="N37" s="188"/>
      <c r="O37" s="177"/>
      <c r="P37" s="127">
        <v>1.0</v>
      </c>
      <c r="Q37" s="177"/>
      <c r="R37" s="177"/>
      <c r="T37" s="132"/>
      <c r="U37" s="7"/>
    </row>
    <row r="38">
      <c r="A38" s="8"/>
      <c r="B38" s="129">
        <f t="shared" si="9"/>
        <v>15</v>
      </c>
      <c r="C38" s="156" t="str">
        <f t="shared" si="10"/>
        <v> Wallwork</v>
      </c>
      <c r="D38" s="208"/>
      <c r="E38" s="205"/>
      <c r="F38" s="177"/>
      <c r="G38" s="177"/>
      <c r="H38" s="177"/>
      <c r="I38" s="177"/>
      <c r="K38" s="129">
        <f t="shared" si="11"/>
        <v>15</v>
      </c>
      <c r="L38" s="156" t="str">
        <f t="shared" si="12"/>
        <v> Brandon</v>
      </c>
      <c r="M38" s="208"/>
      <c r="N38" s="205"/>
      <c r="O38" s="177"/>
      <c r="P38" s="177"/>
      <c r="Q38" s="177"/>
      <c r="R38" s="177"/>
      <c r="T38" s="132"/>
      <c r="U38" s="7"/>
    </row>
    <row r="39">
      <c r="A39" s="14"/>
      <c r="B39" s="135">
        <f t="shared" si="9"/>
        <v>15</v>
      </c>
      <c r="C39" s="156" t="str">
        <f t="shared" si="10"/>
        <v> Shenoy</v>
      </c>
      <c r="D39" s="197"/>
      <c r="E39" s="205"/>
      <c r="F39" s="177"/>
      <c r="G39" s="177"/>
      <c r="H39" s="177"/>
      <c r="I39" s="177"/>
      <c r="K39" s="135">
        <f t="shared" si="11"/>
        <v>15</v>
      </c>
      <c r="L39" s="156" t="str">
        <f t="shared" si="12"/>
        <v> Lawry</v>
      </c>
      <c r="M39" s="208"/>
      <c r="N39" s="205"/>
      <c r="O39" s="177"/>
      <c r="P39" s="177"/>
      <c r="Q39" s="177"/>
      <c r="R39" s="177"/>
      <c r="T39" s="132"/>
      <c r="U39" s="7"/>
    </row>
    <row r="40">
      <c r="A40" s="8"/>
      <c r="B40" s="129">
        <f t="shared" si="9"/>
        <v>16</v>
      </c>
      <c r="C40" s="156" t="str">
        <f t="shared" si="10"/>
        <v> Wallwork</v>
      </c>
      <c r="D40" s="180"/>
      <c r="E40" s="179"/>
      <c r="F40" s="177"/>
      <c r="G40" s="177"/>
      <c r="H40" s="177"/>
      <c r="I40" s="177"/>
      <c r="K40" s="129">
        <f t="shared" si="11"/>
        <v>16</v>
      </c>
      <c r="L40" s="156" t="str">
        <f t="shared" si="12"/>
        <v> Brandon</v>
      </c>
      <c r="M40" s="208"/>
      <c r="N40" s="205"/>
      <c r="O40" s="177"/>
      <c r="P40" s="177"/>
      <c r="Q40" s="177"/>
      <c r="R40" s="177"/>
      <c r="T40" s="132"/>
      <c r="U40" s="7"/>
    </row>
    <row r="41">
      <c r="A41" s="14"/>
      <c r="B41" s="135">
        <f t="shared" si="9"/>
        <v>16</v>
      </c>
      <c r="C41" s="156" t="str">
        <f t="shared" si="10"/>
        <v> Shenoy</v>
      </c>
      <c r="D41" s="180"/>
      <c r="E41" s="181"/>
      <c r="F41" s="177"/>
      <c r="G41" s="177"/>
      <c r="H41" s="177"/>
      <c r="I41" s="177"/>
      <c r="K41" s="135">
        <f t="shared" si="11"/>
        <v>16</v>
      </c>
      <c r="L41" s="156" t="str">
        <f t="shared" si="12"/>
        <v> Lawry</v>
      </c>
      <c r="M41" s="206"/>
      <c r="N41" s="201"/>
      <c r="O41" s="177"/>
      <c r="P41" s="177"/>
      <c r="Q41" s="177"/>
      <c r="R41" s="177"/>
      <c r="T41" s="132"/>
      <c r="U41" s="7"/>
    </row>
    <row r="42">
      <c r="A42" s="8"/>
      <c r="B42" s="129">
        <f t="shared" si="9"/>
        <v>17</v>
      </c>
      <c r="C42" s="156" t="str">
        <f t="shared" si="10"/>
        <v> Wallwork</v>
      </c>
      <c r="D42" s="180"/>
      <c r="E42" s="181"/>
      <c r="F42" s="177"/>
      <c r="G42" s="177"/>
      <c r="H42" s="177"/>
      <c r="I42" s="177"/>
      <c r="K42" s="129">
        <f t="shared" si="11"/>
        <v>17</v>
      </c>
      <c r="L42" s="156" t="str">
        <f t="shared" si="12"/>
        <v> Brandon</v>
      </c>
      <c r="M42" s="208"/>
      <c r="N42" s="205"/>
      <c r="O42" s="177"/>
      <c r="P42" s="177"/>
      <c r="Q42" s="177"/>
      <c r="R42" s="177"/>
      <c r="T42" s="132"/>
      <c r="U42" s="7"/>
    </row>
    <row r="43">
      <c r="A43" s="14"/>
      <c r="B43" s="135">
        <f t="shared" si="9"/>
        <v>17</v>
      </c>
      <c r="C43" s="156" t="str">
        <f t="shared" si="10"/>
        <v> Shenoy</v>
      </c>
      <c r="D43" s="178"/>
      <c r="E43" s="179"/>
      <c r="F43" s="177"/>
      <c r="G43" s="177"/>
      <c r="H43" s="177"/>
      <c r="I43" s="177"/>
      <c r="K43" s="135">
        <f t="shared" si="11"/>
        <v>17</v>
      </c>
      <c r="L43" s="156" t="str">
        <f t="shared" si="12"/>
        <v> Lawry</v>
      </c>
      <c r="M43" s="180"/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Wallwork</v>
      </c>
      <c r="D44" s="180"/>
      <c r="E44" s="181"/>
      <c r="F44" s="177"/>
      <c r="G44" s="177"/>
      <c r="H44" s="177"/>
      <c r="I44" s="177"/>
      <c r="K44" s="129">
        <f t="shared" si="11"/>
        <v>18</v>
      </c>
      <c r="L44" s="156" t="str">
        <f t="shared" si="12"/>
        <v> Brandon</v>
      </c>
      <c r="M44" s="180"/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Shenoy</v>
      </c>
      <c r="D45" s="180"/>
      <c r="E45" s="181"/>
      <c r="F45" s="177"/>
      <c r="G45" s="177"/>
      <c r="H45" s="177"/>
      <c r="I45" s="177"/>
      <c r="K45" s="129">
        <f t="shared" si="11"/>
        <v>18</v>
      </c>
      <c r="L45" s="156" t="str">
        <f t="shared" si="12"/>
        <v> Lawry</v>
      </c>
      <c r="M45" s="180"/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Wallwork</v>
      </c>
      <c r="D46" s="180"/>
      <c r="E46" s="181"/>
      <c r="F46" s="177"/>
      <c r="G46" s="177"/>
      <c r="H46" s="177"/>
      <c r="I46" s="177"/>
      <c r="K46" s="135">
        <f t="shared" si="11"/>
        <v>19</v>
      </c>
      <c r="L46" s="156" t="str">
        <f t="shared" si="12"/>
        <v> Brandon</v>
      </c>
      <c r="M46" s="180"/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Shenoy</v>
      </c>
      <c r="D47" s="180"/>
      <c r="E47" s="181"/>
      <c r="F47" s="177"/>
      <c r="G47" s="177"/>
      <c r="H47" s="177"/>
      <c r="I47" s="177"/>
      <c r="K47" s="129">
        <f t="shared" si="11"/>
        <v>19</v>
      </c>
      <c r="L47" s="156" t="str">
        <f t="shared" si="12"/>
        <v> Lawry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Wallwork</v>
      </c>
      <c r="D48" s="180"/>
      <c r="E48" s="181"/>
      <c r="F48" s="177"/>
      <c r="G48" s="177"/>
      <c r="H48" s="177"/>
      <c r="I48" s="177"/>
      <c r="K48" s="135">
        <f t="shared" si="11"/>
        <v>20</v>
      </c>
      <c r="L48" s="156" t="str">
        <f t="shared" si="12"/>
        <v> Brandon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Shenoy</v>
      </c>
      <c r="D49" s="178"/>
      <c r="E49" s="179"/>
      <c r="F49" s="177"/>
      <c r="G49" s="177"/>
      <c r="H49" s="177"/>
      <c r="I49" s="177"/>
      <c r="K49" s="129">
        <f t="shared" si="11"/>
        <v>20</v>
      </c>
      <c r="L49" s="156" t="str">
        <f t="shared" si="12"/>
        <v> Lawry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Wallwork</v>
      </c>
      <c r="D50" s="180"/>
      <c r="E50" s="181"/>
      <c r="F50" s="177"/>
      <c r="G50" s="177"/>
      <c r="H50" s="177"/>
      <c r="I50" s="177"/>
      <c r="K50" s="129">
        <f t="shared" si="11"/>
        <v>21</v>
      </c>
      <c r="L50" s="156" t="str">
        <f t="shared" si="12"/>
        <v> Brandon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Shenoy</v>
      </c>
      <c r="D51" s="180"/>
      <c r="E51" s="181"/>
      <c r="F51" s="177"/>
      <c r="G51" s="177"/>
      <c r="H51" s="177"/>
      <c r="I51" s="177"/>
      <c r="K51" s="135">
        <f t="shared" si="11"/>
        <v>21</v>
      </c>
      <c r="L51" s="156" t="str">
        <f t="shared" si="12"/>
        <v> Lawry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Wallwork</v>
      </c>
      <c r="D52" s="178"/>
      <c r="E52" s="181"/>
      <c r="F52" s="177"/>
      <c r="G52" s="177"/>
      <c r="H52" s="177"/>
      <c r="I52" s="177"/>
      <c r="K52" s="129">
        <f t="shared" si="11"/>
        <v>22</v>
      </c>
      <c r="L52" s="156" t="str">
        <f t="shared" si="12"/>
        <v> Brandon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Shenoy</v>
      </c>
      <c r="D53" s="178"/>
      <c r="E53" s="181"/>
      <c r="F53" s="177"/>
      <c r="G53" s="177"/>
      <c r="H53" s="177"/>
      <c r="I53" s="177"/>
      <c r="K53" s="135">
        <f t="shared" si="11"/>
        <v>22</v>
      </c>
      <c r="L53" s="156" t="str">
        <f t="shared" si="12"/>
        <v> Lawry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Wallwork</v>
      </c>
      <c r="D54" s="178"/>
      <c r="E54" s="181"/>
      <c r="F54" s="177"/>
      <c r="G54" s="177"/>
      <c r="H54" s="177"/>
      <c r="I54" s="177"/>
      <c r="K54" s="129">
        <f t="shared" si="11"/>
        <v>23</v>
      </c>
      <c r="L54" s="156" t="str">
        <f t="shared" si="12"/>
        <v> Brandon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Shenoy</v>
      </c>
      <c r="D55" s="178"/>
      <c r="E55" s="181"/>
      <c r="K55" s="135">
        <f t="shared" si="11"/>
        <v>23</v>
      </c>
      <c r="L55" s="156" t="str">
        <f t="shared" si="12"/>
        <v> Lawry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Wallwork</v>
      </c>
      <c r="D56" s="178"/>
      <c r="E56" s="181"/>
      <c r="K56" s="129">
        <f t="shared" si="11"/>
        <v>24</v>
      </c>
      <c r="L56" s="156" t="str">
        <f t="shared" si="12"/>
        <v> Brandon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Shenoy</v>
      </c>
      <c r="D57" s="178"/>
      <c r="E57" s="181"/>
      <c r="K57" s="129">
        <f t="shared" si="11"/>
        <v>24</v>
      </c>
      <c r="L57" s="156" t="str">
        <f t="shared" si="12"/>
        <v> Lawry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Wallwork</v>
      </c>
      <c r="D58" s="178"/>
      <c r="E58" s="181"/>
      <c r="K58" s="135">
        <f t="shared" si="11"/>
        <v>25</v>
      </c>
      <c r="L58" s="156" t="str">
        <f t="shared" si="12"/>
        <v> Brandon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Shenoy</v>
      </c>
      <c r="D59" s="178"/>
      <c r="E59" s="181"/>
      <c r="K59" s="129">
        <f t="shared" si="11"/>
        <v>25</v>
      </c>
      <c r="L59" s="156" t="str">
        <f t="shared" si="12"/>
        <v> Lawry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Wallwork</v>
      </c>
      <c r="D60" s="178"/>
      <c r="E60" s="181"/>
      <c r="K60" s="135">
        <f t="shared" si="11"/>
        <v>26</v>
      </c>
      <c r="L60" s="156" t="str">
        <f t="shared" si="12"/>
        <v> Brandon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Shenoy</v>
      </c>
      <c r="D61" s="178"/>
      <c r="E61" s="181"/>
      <c r="K61" s="129">
        <f t="shared" si="11"/>
        <v>26</v>
      </c>
      <c r="L61" s="156" t="str">
        <f t="shared" si="12"/>
        <v> Lawry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Wallwork</v>
      </c>
      <c r="D62" s="178"/>
      <c r="E62" s="181"/>
      <c r="K62" s="135">
        <f t="shared" si="11"/>
        <v>27</v>
      </c>
      <c r="L62" s="156" t="str">
        <f t="shared" si="12"/>
        <v> Brandon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Shenoy</v>
      </c>
      <c r="D63" s="178"/>
      <c r="E63" s="181"/>
      <c r="K63" s="129">
        <f t="shared" si="11"/>
        <v>27</v>
      </c>
      <c r="L63" s="156" t="str">
        <f t="shared" si="12"/>
        <v> Lawry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Wallwork</v>
      </c>
      <c r="D64" s="178"/>
      <c r="E64" s="181"/>
      <c r="K64" s="135">
        <f t="shared" si="11"/>
        <v>28</v>
      </c>
      <c r="L64" s="156" t="str">
        <f t="shared" si="12"/>
        <v> Brandon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Shenoy</v>
      </c>
      <c r="D65" s="178"/>
      <c r="E65" s="181"/>
      <c r="K65" s="129">
        <f t="shared" si="11"/>
        <v>28</v>
      </c>
      <c r="L65" s="156" t="str">
        <f t="shared" si="12"/>
        <v> Lawry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Wallwork</v>
      </c>
      <c r="D66" s="178"/>
      <c r="E66" s="181"/>
      <c r="K66" s="135">
        <f t="shared" si="11"/>
        <v>29</v>
      </c>
      <c r="L66" s="156" t="str">
        <f t="shared" si="12"/>
        <v> Brandon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Shenoy</v>
      </c>
      <c r="D67" s="178"/>
      <c r="E67" s="181"/>
      <c r="K67" s="135">
        <f t="shared" si="11"/>
        <v>29</v>
      </c>
      <c r="L67" s="156" t="str">
        <f t="shared" si="12"/>
        <v> Lawry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Wallwork</v>
      </c>
      <c r="D68" s="178"/>
      <c r="E68" s="181"/>
      <c r="K68" s="135">
        <f t="shared" si="11"/>
        <v>30</v>
      </c>
      <c r="L68" s="156" t="str">
        <f t="shared" si="12"/>
        <v> Brandon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Shenoy</v>
      </c>
      <c r="D69" s="178"/>
      <c r="E69" s="181"/>
      <c r="K69" s="135">
        <f t="shared" si="11"/>
        <v>30</v>
      </c>
      <c r="L69" s="156" t="str">
        <f t="shared" si="12"/>
        <v> Lawry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Wallwork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Brandon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Shenoy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Lawry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Wallwork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Brandon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Shenoy</v>
      </c>
      <c r="D73" s="178"/>
      <c r="E73" s="181"/>
      <c r="K73" s="129">
        <v>32.0</v>
      </c>
      <c r="L73" s="156" t="str">
        <f t="shared" si="12"/>
        <v> Lawry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Wallwork</v>
      </c>
      <c r="D74" s="192"/>
      <c r="E74" s="181"/>
      <c r="K74" s="129">
        <v>33.0</v>
      </c>
      <c r="L74" s="156" t="str">
        <f t="shared" si="12"/>
        <v> Brandon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Shenoy</v>
      </c>
      <c r="D75" s="178"/>
      <c r="E75" s="181"/>
      <c r="K75" s="129">
        <v>33.0</v>
      </c>
      <c r="L75" s="156" t="str">
        <f t="shared" si="12"/>
        <v> Lawry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Wallwork</v>
      </c>
      <c r="D76" s="178"/>
      <c r="E76" s="181"/>
      <c r="K76" s="129">
        <v>34.0</v>
      </c>
      <c r="L76" s="156" t="str">
        <f t="shared" si="12"/>
        <v> Brandon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Shenoy</v>
      </c>
      <c r="D77" s="178"/>
      <c r="E77" s="181"/>
      <c r="K77" s="129">
        <v>34.0</v>
      </c>
      <c r="L77" s="156" t="str">
        <f t="shared" si="12"/>
        <v> Lawry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Wallwork</v>
      </c>
      <c r="D78" s="178"/>
      <c r="E78" s="181"/>
      <c r="K78" s="129">
        <v>35.0</v>
      </c>
      <c r="L78" s="156" t="str">
        <f t="shared" si="12"/>
        <v> Brandon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Shenoy</v>
      </c>
      <c r="D79" s="178"/>
      <c r="E79" s="181"/>
      <c r="K79" s="129">
        <v>35.0</v>
      </c>
      <c r="L79" s="156" t="str">
        <f t="shared" si="12"/>
        <v> Lawry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Wallwork</v>
      </c>
      <c r="D80" s="178"/>
      <c r="E80" s="181"/>
      <c r="K80" s="129">
        <v>36.0</v>
      </c>
      <c r="L80" s="156" t="str">
        <f t="shared" si="12"/>
        <v> Brandon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Shenoy</v>
      </c>
      <c r="D81" s="178"/>
      <c r="E81" s="181"/>
      <c r="K81" s="129">
        <v>36.0</v>
      </c>
      <c r="L81" s="156" t="str">
        <f t="shared" si="12"/>
        <v> Lawry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Wallwork</v>
      </c>
      <c r="D82" s="178"/>
      <c r="E82" s="181"/>
      <c r="K82" s="129">
        <v>37.0</v>
      </c>
      <c r="L82" s="156" t="str">
        <f t="shared" si="12"/>
        <v> Brandon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Shenoy</v>
      </c>
      <c r="D83" s="178"/>
      <c r="E83" s="181"/>
      <c r="K83" s="129">
        <v>37.0</v>
      </c>
      <c r="L83" s="156" t="str">
        <f t="shared" si="12"/>
        <v> Lawry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Wallwork</v>
      </c>
      <c r="D84" s="178"/>
      <c r="E84" s="181"/>
      <c r="K84" s="129">
        <v>38.0</v>
      </c>
      <c r="L84" s="156" t="str">
        <f t="shared" si="12"/>
        <v> Brandon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Shenoy</v>
      </c>
      <c r="D85" s="178"/>
      <c r="E85" s="181"/>
      <c r="K85" s="129">
        <v>38.0</v>
      </c>
      <c r="L85" s="156" t="str">
        <f t="shared" si="12"/>
        <v> Lawry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Wallwork</v>
      </c>
      <c r="D86" s="178"/>
      <c r="E86" s="181"/>
      <c r="K86" s="129">
        <v>39.0</v>
      </c>
      <c r="L86" s="156" t="str">
        <f t="shared" si="12"/>
        <v> Brandon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Shenoy</v>
      </c>
      <c r="D87" s="178"/>
      <c r="E87" s="181"/>
      <c r="K87" s="129">
        <v>39.0</v>
      </c>
      <c r="L87" s="156" t="str">
        <f t="shared" si="12"/>
        <v> Lawry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Wallwork</v>
      </c>
      <c r="D88" s="178"/>
      <c r="E88" s="181"/>
      <c r="K88" s="129">
        <v>40.0</v>
      </c>
      <c r="L88" s="156" t="str">
        <f t="shared" si="12"/>
        <v> Brandon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Shenoy</v>
      </c>
      <c r="D89" s="178"/>
      <c r="E89" s="181"/>
      <c r="K89" s="129">
        <v>40.0</v>
      </c>
      <c r="L89" s="156" t="str">
        <f t="shared" si="12"/>
        <v> Lawry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77</v>
      </c>
      <c r="D3" s="189">
        <f t="shared" ref="D3:J3" si="1">SUMPRODUCT(D10:D90,MOD(ROW(D10:D90),2)=0)</f>
        <v>8</v>
      </c>
      <c r="E3" s="189">
        <f t="shared" si="1"/>
        <v>5</v>
      </c>
      <c r="F3" s="189">
        <f t="shared" si="1"/>
        <v>0</v>
      </c>
      <c r="G3" s="189">
        <f t="shared" si="1"/>
        <v>1</v>
      </c>
      <c r="H3" s="189">
        <f t="shared" si="1"/>
        <v>0</v>
      </c>
      <c r="I3" s="189">
        <f t="shared" si="1"/>
        <v>0</v>
      </c>
      <c r="J3" s="189">
        <f t="shared" si="1"/>
        <v>1</v>
      </c>
      <c r="K3" s="129" t="s">
        <v>178</v>
      </c>
      <c r="L3" s="130" t="s">
        <v>81</v>
      </c>
      <c r="M3" s="189">
        <f t="shared" ref="M3:S3" si="2">SUMPRODUCT(M10:M90,MOD(ROW(M10:M90),2)=0)</f>
        <v>11</v>
      </c>
      <c r="N3" s="189">
        <f t="shared" si="2"/>
        <v>5</v>
      </c>
      <c r="O3" s="189">
        <f t="shared" si="2"/>
        <v>0</v>
      </c>
      <c r="P3" s="189">
        <f t="shared" si="2"/>
        <v>2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101</v>
      </c>
      <c r="D4" s="191">
        <f t="shared" ref="D4:J4" si="3">SUMPRODUCT(D10:D90,MOD(ROW(D10:D90),2))</f>
        <v>10</v>
      </c>
      <c r="E4" s="191">
        <f t="shared" si="3"/>
        <v>4</v>
      </c>
      <c r="F4" s="191">
        <f t="shared" si="3"/>
        <v>1</v>
      </c>
      <c r="G4" s="191">
        <f t="shared" si="3"/>
        <v>1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99</v>
      </c>
      <c r="M4" s="191">
        <f t="shared" ref="M4:S4" si="4">SUMPRODUCT(M10:M90,MOD(ROW(M10:M90),2))</f>
        <v>11</v>
      </c>
      <c r="N4" s="191">
        <f t="shared" si="4"/>
        <v>5</v>
      </c>
      <c r="O4" s="191">
        <f t="shared" si="4"/>
        <v>0</v>
      </c>
      <c r="P4" s="191">
        <f t="shared" si="4"/>
        <v>2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Schreder %</v>
      </c>
      <c r="D5" s="137">
        <f t="shared" ref="D5:D6" si="6">IFERROR((E3/(E3+D3)),0)</f>
        <v>0.3846153846</v>
      </c>
      <c r="K5" s="135"/>
      <c r="L5" s="136" t="str">
        <f t="shared" ref="L5:L6" si="7">IFERROR((L10 &amp;" %"), "")</f>
        <v> Creamer %</v>
      </c>
      <c r="M5" s="137">
        <f t="shared" ref="M5:M6" si="8">IFERROR((N3/(N3+M3)),0)</f>
        <v>0.3125</v>
      </c>
      <c r="S5" s="132"/>
      <c r="T5" s="132"/>
      <c r="U5" s="7"/>
    </row>
    <row r="6">
      <c r="A6" s="14"/>
      <c r="B6" s="138"/>
      <c r="C6" s="139" t="str">
        <f t="shared" si="5"/>
        <v> and Matian %</v>
      </c>
      <c r="D6" s="140">
        <f t="shared" si="6"/>
        <v>0.2857142857</v>
      </c>
      <c r="E6" s="141"/>
      <c r="F6" s="141"/>
      <c r="G6" s="141"/>
      <c r="H6" s="141"/>
      <c r="I6" s="141"/>
      <c r="J6" s="141"/>
      <c r="K6" s="138"/>
      <c r="L6" s="139" t="str">
        <f t="shared" si="7"/>
        <v> Stolz %</v>
      </c>
      <c r="M6" s="142">
        <f t="shared" si="8"/>
        <v>0.3125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Schreder")</f>
        <v> Schreder</v>
      </c>
      <c r="D10" s="200">
        <v>1.0</v>
      </c>
      <c r="E10" s="205"/>
      <c r="F10" s="199"/>
      <c r="G10" s="199"/>
      <c r="H10" s="177"/>
      <c r="I10" s="177"/>
      <c r="K10" s="129">
        <v>1.0</v>
      </c>
      <c r="L10" s="136" t="str">
        <f>IFERROR(__xludf.DUMMYFUNCTION("REGEXEXTRACT(L3, ""( .*)+"")")," Creamer")</f>
        <v> Creamer</v>
      </c>
      <c r="M10" s="200">
        <v>1.0</v>
      </c>
      <c r="N10" s="201"/>
      <c r="O10" s="177"/>
      <c r="P10" s="199"/>
      <c r="Q10" s="177"/>
      <c r="R10" s="177"/>
      <c r="T10" s="132"/>
      <c r="U10" s="7"/>
    </row>
    <row r="11">
      <c r="A11" s="8"/>
      <c r="B11" s="129">
        <v>1.0</v>
      </c>
      <c r="C11" s="136" t="str">
        <f>IFERROR(__xludf.DUMMYFUNCTION("REGEXEXTRACT(C4, ""( .*)+"")")," and Matian")</f>
        <v> and Matian</v>
      </c>
      <c r="D11" s="208"/>
      <c r="E11" s="207">
        <v>1.0</v>
      </c>
      <c r="F11" s="177"/>
      <c r="G11" s="177"/>
      <c r="H11" s="177"/>
      <c r="I11" s="177"/>
      <c r="K11" s="129">
        <v>1.0</v>
      </c>
      <c r="L11" s="136" t="str">
        <f>IFERROR(__xludf.DUMMYFUNCTION("REGEXEXTRACT(L4, ""( .*)+"")")," Stolz")</f>
        <v> Stolz</v>
      </c>
      <c r="M11" s="202">
        <v>1.0</v>
      </c>
      <c r="N11" s="203"/>
      <c r="O11" s="177"/>
      <c r="P11" s="177"/>
      <c r="Q11" s="177"/>
      <c r="R11" s="177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Schreder</v>
      </c>
      <c r="D12" s="202">
        <v>1.0</v>
      </c>
      <c r="E12" s="203"/>
      <c r="F12" s="177"/>
      <c r="G12" s="177"/>
      <c r="H12" s="177"/>
      <c r="I12" s="177"/>
      <c r="K12" s="129">
        <f t="shared" ref="K12:K69" si="11">K10+1</f>
        <v>2</v>
      </c>
      <c r="L12" s="156" t="str">
        <f t="shared" ref="L12:L89" si="12">L10</f>
        <v> Creamer</v>
      </c>
      <c r="M12" s="197"/>
      <c r="N12" s="198">
        <v>1.0</v>
      </c>
      <c r="O12" s="177"/>
      <c r="P12" s="177"/>
      <c r="Q12" s="177"/>
      <c r="R12" s="177"/>
      <c r="T12" s="132"/>
      <c r="U12" s="7"/>
    </row>
    <row r="13">
      <c r="A13" s="14"/>
      <c r="B13" s="135">
        <f t="shared" si="9"/>
        <v>2</v>
      </c>
      <c r="C13" s="156" t="str">
        <f t="shared" si="10"/>
        <v> and Matian</v>
      </c>
      <c r="D13" s="200">
        <v>1.0</v>
      </c>
      <c r="E13" s="201"/>
      <c r="F13" s="177"/>
      <c r="G13" s="191"/>
      <c r="H13" s="177"/>
      <c r="I13" s="177"/>
      <c r="K13" s="135">
        <f t="shared" si="11"/>
        <v>2</v>
      </c>
      <c r="L13" s="156" t="str">
        <f t="shared" si="12"/>
        <v> Stolz</v>
      </c>
      <c r="M13" s="208"/>
      <c r="N13" s="207">
        <v>1.0</v>
      </c>
      <c r="O13" s="177"/>
      <c r="P13" s="177"/>
      <c r="Q13" s="177"/>
      <c r="R13" s="177"/>
      <c r="T13" s="132"/>
      <c r="U13" s="7"/>
    </row>
    <row r="14">
      <c r="A14" s="8"/>
      <c r="B14" s="129">
        <f t="shared" si="9"/>
        <v>3</v>
      </c>
      <c r="C14" s="156" t="str">
        <f t="shared" si="10"/>
        <v> Schreder</v>
      </c>
      <c r="D14" s="202">
        <v>1.0</v>
      </c>
      <c r="E14" s="203"/>
      <c r="F14" s="177"/>
      <c r="G14" s="177"/>
      <c r="H14" s="177"/>
      <c r="I14" s="177"/>
      <c r="K14" s="129">
        <f t="shared" si="11"/>
        <v>3</v>
      </c>
      <c r="L14" s="156" t="str">
        <f t="shared" si="12"/>
        <v> Creamer</v>
      </c>
      <c r="M14" s="208"/>
      <c r="N14" s="207">
        <v>1.0</v>
      </c>
      <c r="O14" s="177"/>
      <c r="P14" s="177"/>
      <c r="Q14" s="177"/>
      <c r="R14" s="177"/>
      <c r="T14" s="132"/>
      <c r="U14" s="7"/>
    </row>
    <row r="15">
      <c r="A15" s="14"/>
      <c r="B15" s="135">
        <f t="shared" si="9"/>
        <v>3</v>
      </c>
      <c r="C15" s="156" t="str">
        <f t="shared" si="10"/>
        <v> and Matian</v>
      </c>
      <c r="D15" s="200">
        <v>1.0</v>
      </c>
      <c r="E15" s="201"/>
      <c r="F15" s="177"/>
      <c r="G15" s="177"/>
      <c r="H15" s="177"/>
      <c r="I15" s="177"/>
      <c r="K15" s="135">
        <f t="shared" si="11"/>
        <v>3</v>
      </c>
      <c r="L15" s="156" t="str">
        <f t="shared" si="12"/>
        <v> Stolz</v>
      </c>
      <c r="M15" s="200">
        <v>1.0</v>
      </c>
      <c r="N15" s="205"/>
      <c r="O15" s="177"/>
      <c r="P15" s="177"/>
      <c r="Q15" s="177"/>
      <c r="R15" s="177"/>
      <c r="T15" s="132"/>
      <c r="U15" s="7"/>
    </row>
    <row r="16">
      <c r="A16" s="8"/>
      <c r="B16" s="129">
        <f t="shared" si="9"/>
        <v>4</v>
      </c>
      <c r="C16" s="156" t="str">
        <f t="shared" si="10"/>
        <v> Schreder</v>
      </c>
      <c r="D16" s="197"/>
      <c r="E16" s="198">
        <v>1.0</v>
      </c>
      <c r="F16" s="177"/>
      <c r="G16" s="177"/>
      <c r="H16" s="177"/>
      <c r="I16" s="177"/>
      <c r="K16" s="129">
        <f t="shared" si="11"/>
        <v>4</v>
      </c>
      <c r="L16" s="156" t="str">
        <f t="shared" si="12"/>
        <v> Creamer</v>
      </c>
      <c r="M16" s="200">
        <v>1.0</v>
      </c>
      <c r="N16" s="205"/>
      <c r="O16" s="177"/>
      <c r="P16" s="177"/>
      <c r="Q16" s="177"/>
      <c r="R16" s="177"/>
      <c r="T16" s="132"/>
      <c r="U16" s="7"/>
    </row>
    <row r="17">
      <c r="A17" s="14"/>
      <c r="B17" s="135">
        <f t="shared" si="9"/>
        <v>4</v>
      </c>
      <c r="C17" s="156" t="str">
        <f t="shared" si="10"/>
        <v> and Matian</v>
      </c>
      <c r="D17" s="200">
        <v>1.0</v>
      </c>
      <c r="E17" s="201"/>
      <c r="F17" s="177"/>
      <c r="G17" s="177"/>
      <c r="H17" s="177"/>
      <c r="I17" s="177"/>
      <c r="K17" s="135">
        <f t="shared" si="11"/>
        <v>4</v>
      </c>
      <c r="L17" s="156" t="str">
        <f t="shared" si="12"/>
        <v> Stolz</v>
      </c>
      <c r="M17" s="206"/>
      <c r="N17" s="207">
        <v>1.0</v>
      </c>
      <c r="O17" s="177"/>
      <c r="P17" s="177"/>
      <c r="Q17" s="177"/>
      <c r="R17" s="177"/>
      <c r="T17" s="132"/>
      <c r="U17" s="7"/>
    </row>
    <row r="18">
      <c r="A18" s="8"/>
      <c r="B18" s="129">
        <f t="shared" si="9"/>
        <v>5</v>
      </c>
      <c r="C18" s="156" t="str">
        <f t="shared" si="10"/>
        <v> Schreder</v>
      </c>
      <c r="D18" s="200">
        <v>1.0</v>
      </c>
      <c r="E18" s="201"/>
      <c r="F18" s="177"/>
      <c r="G18" s="191"/>
      <c r="H18" s="177"/>
      <c r="I18" s="177"/>
      <c r="K18" s="129">
        <f t="shared" si="11"/>
        <v>5</v>
      </c>
      <c r="L18" s="156" t="str">
        <f t="shared" si="12"/>
        <v> Creamer</v>
      </c>
      <c r="M18" s="200">
        <v>1.0</v>
      </c>
      <c r="N18" s="205"/>
      <c r="O18" s="177"/>
      <c r="P18" s="177"/>
      <c r="Q18" s="177"/>
      <c r="R18" s="177"/>
      <c r="T18" s="132"/>
      <c r="U18" s="7"/>
    </row>
    <row r="19">
      <c r="A19" s="14"/>
      <c r="B19" s="135">
        <f t="shared" si="9"/>
        <v>5</v>
      </c>
      <c r="C19" s="156" t="str">
        <f t="shared" si="10"/>
        <v> and Matian</v>
      </c>
      <c r="D19" s="200">
        <v>1.0</v>
      </c>
      <c r="E19" s="205"/>
      <c r="F19" s="177"/>
      <c r="G19" s="177"/>
      <c r="H19" s="177"/>
      <c r="I19" s="177"/>
      <c r="K19" s="135">
        <f t="shared" si="11"/>
        <v>5</v>
      </c>
      <c r="L19" s="156" t="str">
        <f t="shared" si="12"/>
        <v> Stolz</v>
      </c>
      <c r="M19" s="202">
        <v>1.0</v>
      </c>
      <c r="N19" s="203"/>
      <c r="O19" s="177"/>
      <c r="P19" s="127">
        <v>1.0</v>
      </c>
      <c r="Q19" s="177"/>
      <c r="R19" s="177"/>
      <c r="T19" s="132"/>
      <c r="U19" s="7"/>
    </row>
    <row r="20">
      <c r="A20" s="8"/>
      <c r="B20" s="129">
        <f t="shared" si="9"/>
        <v>6</v>
      </c>
      <c r="C20" s="156" t="str">
        <f t="shared" si="10"/>
        <v> Schreder</v>
      </c>
      <c r="D20" s="187"/>
      <c r="E20" s="201"/>
      <c r="F20" s="177"/>
      <c r="G20" s="177"/>
      <c r="H20" s="177"/>
      <c r="I20" s="177"/>
      <c r="K20" s="129">
        <f t="shared" si="11"/>
        <v>6</v>
      </c>
      <c r="L20" s="156" t="str">
        <f t="shared" si="12"/>
        <v> Creamer</v>
      </c>
      <c r="M20" s="197"/>
      <c r="N20" s="198">
        <v>1.0</v>
      </c>
      <c r="O20" s="177"/>
      <c r="P20" s="177"/>
      <c r="Q20" s="177"/>
      <c r="R20" s="177"/>
      <c r="T20" s="132"/>
      <c r="U20" s="7"/>
    </row>
    <row r="21">
      <c r="A21" s="14"/>
      <c r="B21" s="135">
        <f t="shared" si="9"/>
        <v>6</v>
      </c>
      <c r="C21" s="156" t="str">
        <f t="shared" si="10"/>
        <v> and Matian</v>
      </c>
      <c r="D21" s="200">
        <v>1.0</v>
      </c>
      <c r="E21" s="205"/>
      <c r="F21" s="127">
        <v>1.0</v>
      </c>
      <c r="G21" s="177"/>
      <c r="H21" s="177"/>
      <c r="I21" s="177"/>
      <c r="K21" s="135">
        <f t="shared" si="11"/>
        <v>6</v>
      </c>
      <c r="L21" s="156" t="str">
        <f t="shared" si="12"/>
        <v> Stolz</v>
      </c>
      <c r="M21" s="200">
        <v>1.0</v>
      </c>
      <c r="N21" s="205"/>
      <c r="O21" s="177"/>
      <c r="P21" s="177"/>
      <c r="Q21" s="177"/>
      <c r="R21" s="177"/>
      <c r="T21" s="132"/>
      <c r="U21" s="7"/>
    </row>
    <row r="22">
      <c r="A22" s="8"/>
      <c r="B22" s="129">
        <f t="shared" si="9"/>
        <v>7</v>
      </c>
      <c r="C22" s="156" t="str">
        <f t="shared" si="10"/>
        <v> Schreder</v>
      </c>
      <c r="D22" s="208"/>
      <c r="E22" s="207">
        <v>1.0</v>
      </c>
      <c r="F22" s="177"/>
      <c r="G22" s="177"/>
      <c r="H22" s="177"/>
      <c r="I22" s="177"/>
      <c r="K22" s="129">
        <f t="shared" si="11"/>
        <v>7</v>
      </c>
      <c r="L22" s="156" t="str">
        <f t="shared" si="12"/>
        <v> Creamer</v>
      </c>
      <c r="M22" s="197"/>
      <c r="N22" s="198">
        <v>1.0</v>
      </c>
      <c r="O22" s="177"/>
      <c r="P22" s="177"/>
      <c r="Q22" s="177"/>
      <c r="R22" s="177"/>
      <c r="T22" s="132"/>
      <c r="U22" s="7"/>
    </row>
    <row r="23">
      <c r="A23" s="14"/>
      <c r="B23" s="135">
        <f t="shared" si="9"/>
        <v>7</v>
      </c>
      <c r="C23" s="156" t="str">
        <f t="shared" si="10"/>
        <v> and Matian</v>
      </c>
      <c r="D23" s="200">
        <v>1.0</v>
      </c>
      <c r="E23" s="205"/>
      <c r="F23" s="177"/>
      <c r="G23" s="177"/>
      <c r="H23" s="177"/>
      <c r="I23" s="177"/>
      <c r="K23" s="135">
        <f t="shared" si="11"/>
        <v>7</v>
      </c>
      <c r="L23" s="156" t="str">
        <f t="shared" si="12"/>
        <v> Stolz</v>
      </c>
      <c r="M23" s="200">
        <v>1.0</v>
      </c>
      <c r="N23" s="205"/>
      <c r="O23" s="177"/>
      <c r="P23" s="177"/>
      <c r="Q23" s="177"/>
      <c r="R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 Schreder</v>
      </c>
      <c r="D24" s="200">
        <v>1.0</v>
      </c>
      <c r="E24" s="205"/>
      <c r="F24" s="177"/>
      <c r="G24" s="177"/>
      <c r="H24" s="177"/>
      <c r="I24" s="177"/>
      <c r="K24" s="129">
        <f t="shared" si="11"/>
        <v>8</v>
      </c>
      <c r="L24" s="156" t="str">
        <f t="shared" si="12"/>
        <v> Creamer</v>
      </c>
      <c r="M24" s="202">
        <v>1.0</v>
      </c>
      <c r="N24" s="188"/>
      <c r="O24" s="177"/>
      <c r="P24" s="177"/>
      <c r="Q24" s="177"/>
      <c r="R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 and Matian</v>
      </c>
      <c r="D25" s="202">
        <v>1.0</v>
      </c>
      <c r="E25" s="188"/>
      <c r="F25" s="177"/>
      <c r="G25" s="177"/>
      <c r="H25" s="177"/>
      <c r="I25" s="177"/>
      <c r="K25" s="135">
        <f t="shared" si="11"/>
        <v>8</v>
      </c>
      <c r="L25" s="156" t="str">
        <f t="shared" si="12"/>
        <v> Stolz</v>
      </c>
      <c r="M25" s="202">
        <v>1.0</v>
      </c>
      <c r="N25" s="207"/>
      <c r="O25" s="177"/>
      <c r="P25" s="177"/>
      <c r="Q25" s="177"/>
      <c r="R25" s="177"/>
      <c r="T25" s="132"/>
      <c r="U25" s="7"/>
    </row>
    <row r="26">
      <c r="A26" s="8"/>
      <c r="B26" s="129">
        <f t="shared" si="9"/>
        <v>9</v>
      </c>
      <c r="C26" s="156" t="str">
        <f t="shared" si="10"/>
        <v> Schreder</v>
      </c>
      <c r="D26" s="202"/>
      <c r="E26" s="207">
        <v>1.0</v>
      </c>
      <c r="F26" s="177"/>
      <c r="G26" s="177"/>
      <c r="H26" s="177"/>
      <c r="I26" s="177"/>
      <c r="J26" s="136">
        <v>1.0</v>
      </c>
      <c r="K26" s="129">
        <f t="shared" si="11"/>
        <v>9</v>
      </c>
      <c r="L26" s="156" t="str">
        <f t="shared" si="12"/>
        <v> Creamer</v>
      </c>
      <c r="M26" s="200">
        <v>1.0</v>
      </c>
      <c r="N26" s="198"/>
      <c r="O26" s="177"/>
      <c r="P26" s="177"/>
      <c r="Q26" s="177"/>
      <c r="R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 and Matian</v>
      </c>
      <c r="D27" s="208"/>
      <c r="E27" s="207">
        <v>1.0</v>
      </c>
      <c r="F27" s="177"/>
      <c r="G27" s="177"/>
      <c r="H27" s="177"/>
      <c r="I27" s="177"/>
      <c r="K27" s="135">
        <f t="shared" si="11"/>
        <v>9</v>
      </c>
      <c r="L27" s="156" t="str">
        <f t="shared" si="12"/>
        <v> Stolz</v>
      </c>
      <c r="M27" s="197"/>
      <c r="N27" s="198">
        <v>1.0</v>
      </c>
      <c r="O27" s="177"/>
      <c r="P27" s="177"/>
      <c r="Q27" s="177"/>
      <c r="R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 Schreder</v>
      </c>
      <c r="D28" s="197"/>
      <c r="E28" s="198">
        <v>1.0</v>
      </c>
      <c r="F28" s="177"/>
      <c r="G28" s="191"/>
      <c r="H28" s="177"/>
      <c r="I28" s="177"/>
      <c r="K28" s="129">
        <f t="shared" si="11"/>
        <v>10</v>
      </c>
      <c r="L28" s="156" t="str">
        <f t="shared" si="12"/>
        <v> Creamer</v>
      </c>
      <c r="M28" s="197"/>
      <c r="N28" s="198">
        <v>1.0</v>
      </c>
      <c r="O28" s="177"/>
      <c r="P28" s="177"/>
      <c r="Q28" s="177"/>
      <c r="R28" s="177"/>
      <c r="T28" s="132"/>
      <c r="U28" s="7"/>
    </row>
    <row r="29">
      <c r="A29" s="14"/>
      <c r="B29" s="135">
        <f t="shared" si="9"/>
        <v>10</v>
      </c>
      <c r="C29" s="156" t="str">
        <f t="shared" si="10"/>
        <v> and Matian</v>
      </c>
      <c r="D29" s="197"/>
      <c r="E29" s="198">
        <v>1.0</v>
      </c>
      <c r="F29" s="177"/>
      <c r="G29" s="177"/>
      <c r="H29" s="177"/>
      <c r="I29" s="177"/>
      <c r="K29" s="135">
        <f t="shared" si="11"/>
        <v>10</v>
      </c>
      <c r="L29" s="156" t="str">
        <f t="shared" si="12"/>
        <v> Stolz</v>
      </c>
      <c r="M29" s="197"/>
      <c r="N29" s="198">
        <v>1.0</v>
      </c>
      <c r="O29" s="177"/>
      <c r="P29" s="177"/>
      <c r="Q29" s="177"/>
      <c r="R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 Schreder</v>
      </c>
      <c r="D30" s="200">
        <v>1.0</v>
      </c>
      <c r="E30" s="205"/>
      <c r="F30" s="177"/>
      <c r="G30" s="177"/>
      <c r="H30" s="177"/>
      <c r="I30" s="177"/>
      <c r="K30" s="129">
        <f t="shared" si="11"/>
        <v>11</v>
      </c>
      <c r="L30" s="156" t="str">
        <f t="shared" si="12"/>
        <v> Creamer</v>
      </c>
      <c r="M30" s="200">
        <v>1.0</v>
      </c>
      <c r="N30" s="205"/>
      <c r="O30" s="177"/>
      <c r="P30" s="127">
        <v>1.0</v>
      </c>
      <c r="Q30" s="177"/>
      <c r="R30" s="177"/>
      <c r="T30" s="132"/>
      <c r="U30" s="7"/>
    </row>
    <row r="31">
      <c r="A31" s="14"/>
      <c r="B31" s="135">
        <f t="shared" si="9"/>
        <v>11</v>
      </c>
      <c r="C31" s="156" t="str">
        <f t="shared" si="10"/>
        <v> and Matian</v>
      </c>
      <c r="D31" s="197"/>
      <c r="E31" s="198">
        <v>1.0</v>
      </c>
      <c r="F31" s="177"/>
      <c r="G31" s="177"/>
      <c r="H31" s="177"/>
      <c r="I31" s="177"/>
      <c r="K31" s="135">
        <f t="shared" si="11"/>
        <v>11</v>
      </c>
      <c r="L31" s="156" t="str">
        <f t="shared" si="12"/>
        <v> Stolz</v>
      </c>
      <c r="M31" s="202">
        <v>1.0</v>
      </c>
      <c r="N31" s="203"/>
      <c r="O31" s="177"/>
      <c r="P31" s="177"/>
      <c r="Q31" s="177"/>
      <c r="R31" s="177"/>
      <c r="T31" s="132"/>
      <c r="U31" s="7"/>
    </row>
    <row r="32">
      <c r="A32" s="8"/>
      <c r="B32" s="129">
        <f t="shared" si="9"/>
        <v>12</v>
      </c>
      <c r="C32" s="156" t="str">
        <f t="shared" si="10"/>
        <v> Schreder</v>
      </c>
      <c r="D32" s="197"/>
      <c r="E32" s="198">
        <v>1.0</v>
      </c>
      <c r="F32" s="177"/>
      <c r="G32" s="177"/>
      <c r="H32" s="177"/>
      <c r="I32" s="177"/>
      <c r="K32" s="129">
        <f t="shared" si="11"/>
        <v>12</v>
      </c>
      <c r="L32" s="156" t="str">
        <f t="shared" si="12"/>
        <v> Creamer</v>
      </c>
      <c r="M32" s="200">
        <v>1.0</v>
      </c>
      <c r="N32" s="205"/>
      <c r="O32" s="177"/>
      <c r="P32" s="127"/>
      <c r="Q32" s="177"/>
      <c r="R32" s="177"/>
      <c r="T32" s="132"/>
      <c r="U32" s="7"/>
    </row>
    <row r="33">
      <c r="A33" s="14"/>
      <c r="B33" s="135">
        <f t="shared" si="9"/>
        <v>12</v>
      </c>
      <c r="C33" s="156" t="str">
        <f t="shared" si="10"/>
        <v> and Matian</v>
      </c>
      <c r="D33" s="200">
        <v>1.0</v>
      </c>
      <c r="E33" s="205"/>
      <c r="F33" s="177"/>
      <c r="G33" s="177"/>
      <c r="H33" s="177"/>
      <c r="I33" s="177"/>
      <c r="K33" s="135">
        <f t="shared" si="11"/>
        <v>12</v>
      </c>
      <c r="L33" s="156" t="str">
        <f t="shared" si="12"/>
        <v> Stolz</v>
      </c>
      <c r="M33" s="200">
        <v>1.0</v>
      </c>
      <c r="N33" s="201"/>
      <c r="O33" s="177"/>
      <c r="P33" s="177"/>
      <c r="Q33" s="177"/>
      <c r="R33" s="177"/>
      <c r="T33" s="132"/>
      <c r="U33" s="7"/>
    </row>
    <row r="34">
      <c r="A34" s="8"/>
      <c r="B34" s="129">
        <f t="shared" si="9"/>
        <v>13</v>
      </c>
      <c r="C34" s="156" t="str">
        <f t="shared" si="10"/>
        <v> Schreder</v>
      </c>
      <c r="D34" s="200">
        <v>1.0</v>
      </c>
      <c r="E34" s="205"/>
      <c r="F34" s="177"/>
      <c r="G34" s="177"/>
      <c r="H34" s="177"/>
      <c r="I34" s="177"/>
      <c r="K34" s="129">
        <f t="shared" si="11"/>
        <v>13</v>
      </c>
      <c r="L34" s="156" t="str">
        <f t="shared" si="12"/>
        <v> Creamer</v>
      </c>
      <c r="M34" s="202">
        <v>1.0</v>
      </c>
      <c r="N34" s="188"/>
      <c r="O34" s="177"/>
      <c r="P34" s="127">
        <v>1.0</v>
      </c>
      <c r="Q34" s="177"/>
      <c r="R34" s="177"/>
      <c r="T34" s="132"/>
      <c r="U34" s="7"/>
    </row>
    <row r="35">
      <c r="A35" s="14"/>
      <c r="B35" s="135">
        <f t="shared" si="9"/>
        <v>13</v>
      </c>
      <c r="C35" s="156" t="str">
        <f t="shared" si="10"/>
        <v> and Matian</v>
      </c>
      <c r="D35" s="202">
        <v>1.0</v>
      </c>
      <c r="E35" s="188"/>
      <c r="F35" s="177"/>
      <c r="G35" s="127">
        <v>1.0</v>
      </c>
      <c r="H35" s="177"/>
      <c r="I35" s="177"/>
      <c r="K35" s="135">
        <f t="shared" si="11"/>
        <v>13</v>
      </c>
      <c r="L35" s="156" t="str">
        <f t="shared" si="12"/>
        <v> Stolz</v>
      </c>
      <c r="M35" s="200">
        <v>1.0</v>
      </c>
      <c r="N35" s="205"/>
      <c r="O35" s="177"/>
      <c r="P35" s="177"/>
      <c r="Q35" s="177"/>
      <c r="R35" s="177"/>
      <c r="T35" s="132"/>
      <c r="U35" s="7"/>
    </row>
    <row r="36">
      <c r="A36" s="8"/>
      <c r="B36" s="129">
        <f t="shared" si="9"/>
        <v>14</v>
      </c>
      <c r="C36" s="156" t="str">
        <f t="shared" si="10"/>
        <v> Schreder</v>
      </c>
      <c r="D36" s="202">
        <v>1.0</v>
      </c>
      <c r="E36" s="205"/>
      <c r="F36" s="177"/>
      <c r="G36" s="127">
        <v>1.0</v>
      </c>
      <c r="H36" s="177"/>
      <c r="I36" s="177"/>
      <c r="K36" s="129">
        <f t="shared" si="11"/>
        <v>14</v>
      </c>
      <c r="L36" s="156" t="str">
        <f t="shared" si="12"/>
        <v> Creamer</v>
      </c>
      <c r="M36" s="202">
        <v>1.0</v>
      </c>
      <c r="N36" s="205"/>
      <c r="O36" s="177"/>
      <c r="P36" s="177"/>
      <c r="Q36" s="177"/>
      <c r="R36" s="177"/>
      <c r="T36" s="132"/>
      <c r="U36" s="7"/>
    </row>
    <row r="37">
      <c r="A37" s="14"/>
      <c r="B37" s="135">
        <f t="shared" si="9"/>
        <v>14</v>
      </c>
      <c r="C37" s="156" t="str">
        <f t="shared" si="10"/>
        <v> and Matian</v>
      </c>
      <c r="D37" s="202">
        <v>1.0</v>
      </c>
      <c r="E37" s="188"/>
      <c r="F37" s="177"/>
      <c r="G37" s="177"/>
      <c r="H37" s="177"/>
      <c r="I37" s="177"/>
      <c r="K37" s="135">
        <f t="shared" si="11"/>
        <v>14</v>
      </c>
      <c r="L37" s="156" t="str">
        <f t="shared" si="12"/>
        <v> Stolz</v>
      </c>
      <c r="M37" s="202">
        <v>1.0</v>
      </c>
      <c r="N37" s="188"/>
      <c r="O37" s="177"/>
      <c r="P37" s="127">
        <v>1.0</v>
      </c>
      <c r="Q37" s="177"/>
      <c r="R37" s="177"/>
      <c r="T37" s="132"/>
      <c r="U37" s="7"/>
    </row>
    <row r="38">
      <c r="A38" s="8"/>
      <c r="B38" s="129">
        <f t="shared" si="9"/>
        <v>15</v>
      </c>
      <c r="C38" s="156" t="str">
        <f t="shared" si="10"/>
        <v> Schreder</v>
      </c>
      <c r="D38" s="208"/>
      <c r="E38" s="205"/>
      <c r="F38" s="177"/>
      <c r="G38" s="177"/>
      <c r="H38" s="177"/>
      <c r="I38" s="177"/>
      <c r="K38" s="129">
        <f t="shared" si="11"/>
        <v>15</v>
      </c>
      <c r="L38" s="156" t="str">
        <f t="shared" si="12"/>
        <v> Creamer</v>
      </c>
      <c r="M38" s="202">
        <v>1.0</v>
      </c>
      <c r="N38" s="205"/>
      <c r="O38" s="177"/>
      <c r="P38" s="177"/>
      <c r="Q38" s="177"/>
      <c r="R38" s="177"/>
      <c r="T38" s="132"/>
      <c r="U38" s="7"/>
    </row>
    <row r="39">
      <c r="A39" s="14"/>
      <c r="B39" s="135">
        <f t="shared" si="9"/>
        <v>15</v>
      </c>
      <c r="C39" s="156" t="str">
        <f t="shared" si="10"/>
        <v> and Matian</v>
      </c>
      <c r="D39" s="197"/>
      <c r="E39" s="205"/>
      <c r="F39" s="177"/>
      <c r="G39" s="177"/>
      <c r="H39" s="177"/>
      <c r="I39" s="177"/>
      <c r="K39" s="135">
        <f t="shared" si="11"/>
        <v>15</v>
      </c>
      <c r="L39" s="156" t="str">
        <f t="shared" si="12"/>
        <v> Stolz</v>
      </c>
      <c r="M39" s="202">
        <v>1.0</v>
      </c>
      <c r="N39" s="205"/>
      <c r="O39" s="177"/>
      <c r="P39" s="177"/>
      <c r="Q39" s="177"/>
      <c r="R39" s="177"/>
      <c r="T39" s="132"/>
      <c r="U39" s="7"/>
    </row>
    <row r="40">
      <c r="A40" s="8"/>
      <c r="B40" s="129">
        <f t="shared" si="9"/>
        <v>16</v>
      </c>
      <c r="C40" s="156" t="str">
        <f t="shared" si="10"/>
        <v> Schreder</v>
      </c>
      <c r="D40" s="180"/>
      <c r="E40" s="179"/>
      <c r="F40" s="177"/>
      <c r="G40" s="177"/>
      <c r="H40" s="177"/>
      <c r="I40" s="177"/>
      <c r="K40" s="129">
        <f t="shared" si="11"/>
        <v>16</v>
      </c>
      <c r="L40" s="156" t="str">
        <f t="shared" si="12"/>
        <v> Creamer</v>
      </c>
      <c r="M40" s="202">
        <v>1.0</v>
      </c>
      <c r="N40" s="205"/>
      <c r="O40" s="177"/>
      <c r="P40" s="177"/>
      <c r="Q40" s="177"/>
      <c r="R40" s="177"/>
      <c r="T40" s="132"/>
      <c r="U40" s="7"/>
    </row>
    <row r="41">
      <c r="A41" s="14"/>
      <c r="B41" s="135">
        <f t="shared" si="9"/>
        <v>16</v>
      </c>
      <c r="C41" s="156" t="str">
        <f t="shared" si="10"/>
        <v> and Matian</v>
      </c>
      <c r="D41" s="180"/>
      <c r="E41" s="181"/>
      <c r="F41" s="177"/>
      <c r="G41" s="177"/>
      <c r="H41" s="177"/>
      <c r="I41" s="177"/>
      <c r="K41" s="135">
        <f t="shared" si="11"/>
        <v>16</v>
      </c>
      <c r="L41" s="156" t="str">
        <f t="shared" si="12"/>
        <v> Stolz</v>
      </c>
      <c r="M41" s="206"/>
      <c r="N41" s="198">
        <v>1.0</v>
      </c>
      <c r="O41" s="177"/>
      <c r="P41" s="177"/>
      <c r="Q41" s="177"/>
      <c r="R41" s="177"/>
      <c r="T41" s="132"/>
      <c r="U41" s="7"/>
    </row>
    <row r="42">
      <c r="A42" s="8"/>
      <c r="B42" s="129">
        <f t="shared" si="9"/>
        <v>17</v>
      </c>
      <c r="C42" s="156" t="str">
        <f t="shared" si="10"/>
        <v> Schreder</v>
      </c>
      <c r="D42" s="180"/>
      <c r="E42" s="181"/>
      <c r="F42" s="177"/>
      <c r="G42" s="177"/>
      <c r="H42" s="177"/>
      <c r="I42" s="177"/>
      <c r="K42" s="129">
        <f t="shared" si="11"/>
        <v>17</v>
      </c>
      <c r="L42" s="156" t="str">
        <f t="shared" si="12"/>
        <v> Creamer</v>
      </c>
      <c r="M42" s="208"/>
      <c r="N42" s="205"/>
      <c r="O42" s="177"/>
      <c r="P42" s="177"/>
      <c r="Q42" s="177"/>
      <c r="R42" s="177"/>
      <c r="T42" s="132"/>
      <c r="U42" s="7"/>
    </row>
    <row r="43">
      <c r="A43" s="14"/>
      <c r="B43" s="135">
        <f t="shared" si="9"/>
        <v>17</v>
      </c>
      <c r="C43" s="156" t="str">
        <f t="shared" si="10"/>
        <v> and Matian</v>
      </c>
      <c r="D43" s="178"/>
      <c r="E43" s="179"/>
      <c r="F43" s="177"/>
      <c r="G43" s="177"/>
      <c r="H43" s="177"/>
      <c r="I43" s="177"/>
      <c r="K43" s="135">
        <f t="shared" si="11"/>
        <v>17</v>
      </c>
      <c r="L43" s="156" t="str">
        <f t="shared" si="12"/>
        <v> Stolz</v>
      </c>
      <c r="M43" s="180"/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Schreder</v>
      </c>
      <c r="D44" s="180"/>
      <c r="E44" s="181"/>
      <c r="F44" s="177"/>
      <c r="G44" s="177"/>
      <c r="H44" s="177"/>
      <c r="I44" s="177"/>
      <c r="K44" s="129">
        <f t="shared" si="11"/>
        <v>18</v>
      </c>
      <c r="L44" s="156" t="str">
        <f t="shared" si="12"/>
        <v> Creamer</v>
      </c>
      <c r="M44" s="180"/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and Matian</v>
      </c>
      <c r="D45" s="180"/>
      <c r="E45" s="181"/>
      <c r="F45" s="177"/>
      <c r="G45" s="177"/>
      <c r="H45" s="177"/>
      <c r="I45" s="177"/>
      <c r="K45" s="129">
        <f t="shared" si="11"/>
        <v>18</v>
      </c>
      <c r="L45" s="156" t="str">
        <f t="shared" si="12"/>
        <v> Stolz</v>
      </c>
      <c r="M45" s="180"/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Schreder</v>
      </c>
      <c r="D46" s="180"/>
      <c r="E46" s="181"/>
      <c r="F46" s="177"/>
      <c r="G46" s="177"/>
      <c r="H46" s="177"/>
      <c r="I46" s="177"/>
      <c r="K46" s="135">
        <f t="shared" si="11"/>
        <v>19</v>
      </c>
      <c r="L46" s="156" t="str">
        <f t="shared" si="12"/>
        <v> Creamer</v>
      </c>
      <c r="M46" s="180"/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and Matian</v>
      </c>
      <c r="D47" s="180"/>
      <c r="E47" s="181"/>
      <c r="F47" s="177"/>
      <c r="G47" s="177"/>
      <c r="H47" s="177"/>
      <c r="I47" s="177"/>
      <c r="K47" s="129">
        <f t="shared" si="11"/>
        <v>19</v>
      </c>
      <c r="L47" s="156" t="str">
        <f t="shared" si="12"/>
        <v> Stolz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Schreder</v>
      </c>
      <c r="D48" s="180"/>
      <c r="E48" s="181"/>
      <c r="F48" s="177"/>
      <c r="G48" s="177"/>
      <c r="H48" s="177"/>
      <c r="I48" s="177"/>
      <c r="K48" s="135">
        <f t="shared" si="11"/>
        <v>20</v>
      </c>
      <c r="L48" s="156" t="str">
        <f t="shared" si="12"/>
        <v> Creamer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and Matian</v>
      </c>
      <c r="D49" s="178"/>
      <c r="E49" s="179"/>
      <c r="F49" s="177"/>
      <c r="G49" s="177"/>
      <c r="H49" s="177"/>
      <c r="I49" s="177"/>
      <c r="K49" s="129">
        <f t="shared" si="11"/>
        <v>20</v>
      </c>
      <c r="L49" s="156" t="str">
        <f t="shared" si="12"/>
        <v> Stolz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Schreder</v>
      </c>
      <c r="D50" s="180"/>
      <c r="E50" s="181"/>
      <c r="F50" s="177"/>
      <c r="G50" s="177"/>
      <c r="H50" s="177"/>
      <c r="I50" s="177"/>
      <c r="K50" s="129">
        <f t="shared" si="11"/>
        <v>21</v>
      </c>
      <c r="L50" s="156" t="str">
        <f t="shared" si="12"/>
        <v> Creamer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and Matian</v>
      </c>
      <c r="D51" s="180"/>
      <c r="E51" s="181"/>
      <c r="F51" s="177"/>
      <c r="G51" s="177"/>
      <c r="H51" s="177"/>
      <c r="I51" s="177"/>
      <c r="K51" s="135">
        <f t="shared" si="11"/>
        <v>21</v>
      </c>
      <c r="L51" s="156" t="str">
        <f t="shared" si="12"/>
        <v> Stolz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Schreder</v>
      </c>
      <c r="D52" s="178"/>
      <c r="E52" s="181"/>
      <c r="F52" s="177"/>
      <c r="G52" s="177"/>
      <c r="H52" s="177"/>
      <c r="I52" s="177"/>
      <c r="K52" s="129">
        <f t="shared" si="11"/>
        <v>22</v>
      </c>
      <c r="L52" s="156" t="str">
        <f t="shared" si="12"/>
        <v> Creamer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and Matian</v>
      </c>
      <c r="D53" s="178"/>
      <c r="E53" s="181"/>
      <c r="F53" s="177"/>
      <c r="G53" s="177"/>
      <c r="H53" s="177"/>
      <c r="I53" s="177"/>
      <c r="K53" s="135">
        <f t="shared" si="11"/>
        <v>22</v>
      </c>
      <c r="L53" s="156" t="str">
        <f t="shared" si="12"/>
        <v> Stolz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Schreder</v>
      </c>
      <c r="D54" s="178"/>
      <c r="E54" s="181"/>
      <c r="F54" s="177"/>
      <c r="G54" s="177"/>
      <c r="H54" s="177"/>
      <c r="I54" s="177"/>
      <c r="K54" s="129">
        <f t="shared" si="11"/>
        <v>23</v>
      </c>
      <c r="L54" s="156" t="str">
        <f t="shared" si="12"/>
        <v> Creamer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and Matian</v>
      </c>
      <c r="D55" s="178"/>
      <c r="E55" s="181"/>
      <c r="K55" s="135">
        <f t="shared" si="11"/>
        <v>23</v>
      </c>
      <c r="L55" s="156" t="str">
        <f t="shared" si="12"/>
        <v> Stolz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Schreder</v>
      </c>
      <c r="D56" s="178"/>
      <c r="E56" s="181"/>
      <c r="K56" s="129">
        <f t="shared" si="11"/>
        <v>24</v>
      </c>
      <c r="L56" s="156" t="str">
        <f t="shared" si="12"/>
        <v> Creamer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and Matian</v>
      </c>
      <c r="D57" s="178"/>
      <c r="E57" s="181"/>
      <c r="K57" s="129">
        <f t="shared" si="11"/>
        <v>24</v>
      </c>
      <c r="L57" s="156" t="str">
        <f t="shared" si="12"/>
        <v> Stolz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Schreder</v>
      </c>
      <c r="D58" s="178"/>
      <c r="E58" s="181"/>
      <c r="K58" s="135">
        <f t="shared" si="11"/>
        <v>25</v>
      </c>
      <c r="L58" s="156" t="str">
        <f t="shared" si="12"/>
        <v> Creamer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and Matian</v>
      </c>
      <c r="D59" s="178"/>
      <c r="E59" s="181"/>
      <c r="K59" s="129">
        <f t="shared" si="11"/>
        <v>25</v>
      </c>
      <c r="L59" s="156" t="str">
        <f t="shared" si="12"/>
        <v> Stolz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Schreder</v>
      </c>
      <c r="D60" s="178"/>
      <c r="E60" s="181"/>
      <c r="K60" s="135">
        <f t="shared" si="11"/>
        <v>26</v>
      </c>
      <c r="L60" s="156" t="str">
        <f t="shared" si="12"/>
        <v> Creamer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and Matian</v>
      </c>
      <c r="D61" s="178"/>
      <c r="E61" s="181"/>
      <c r="K61" s="129">
        <f t="shared" si="11"/>
        <v>26</v>
      </c>
      <c r="L61" s="156" t="str">
        <f t="shared" si="12"/>
        <v> Stolz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Schreder</v>
      </c>
      <c r="D62" s="178"/>
      <c r="E62" s="181"/>
      <c r="K62" s="135">
        <f t="shared" si="11"/>
        <v>27</v>
      </c>
      <c r="L62" s="156" t="str">
        <f t="shared" si="12"/>
        <v> Creamer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and Matian</v>
      </c>
      <c r="D63" s="178"/>
      <c r="E63" s="181"/>
      <c r="K63" s="129">
        <f t="shared" si="11"/>
        <v>27</v>
      </c>
      <c r="L63" s="156" t="str">
        <f t="shared" si="12"/>
        <v> Stolz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Schreder</v>
      </c>
      <c r="D64" s="178"/>
      <c r="E64" s="181"/>
      <c r="K64" s="135">
        <f t="shared" si="11"/>
        <v>28</v>
      </c>
      <c r="L64" s="156" t="str">
        <f t="shared" si="12"/>
        <v> Creamer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and Matian</v>
      </c>
      <c r="D65" s="178"/>
      <c r="E65" s="181"/>
      <c r="K65" s="129">
        <f t="shared" si="11"/>
        <v>28</v>
      </c>
      <c r="L65" s="156" t="str">
        <f t="shared" si="12"/>
        <v> Stolz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Schreder</v>
      </c>
      <c r="D66" s="178"/>
      <c r="E66" s="181"/>
      <c r="K66" s="135">
        <f t="shared" si="11"/>
        <v>29</v>
      </c>
      <c r="L66" s="156" t="str">
        <f t="shared" si="12"/>
        <v> Creamer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and Matian</v>
      </c>
      <c r="D67" s="178"/>
      <c r="E67" s="181"/>
      <c r="K67" s="135">
        <f t="shared" si="11"/>
        <v>29</v>
      </c>
      <c r="L67" s="156" t="str">
        <f t="shared" si="12"/>
        <v> Stolz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Schreder</v>
      </c>
      <c r="D68" s="178"/>
      <c r="E68" s="181"/>
      <c r="K68" s="135">
        <f t="shared" si="11"/>
        <v>30</v>
      </c>
      <c r="L68" s="156" t="str">
        <f t="shared" si="12"/>
        <v> Creamer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and Matian</v>
      </c>
      <c r="D69" s="178"/>
      <c r="E69" s="181"/>
      <c r="K69" s="135">
        <f t="shared" si="11"/>
        <v>30</v>
      </c>
      <c r="L69" s="156" t="str">
        <f t="shared" si="12"/>
        <v> Stolz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Schreder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Creamer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and Matian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Stolz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Schreder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Creamer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and Matian</v>
      </c>
      <c r="D73" s="178"/>
      <c r="E73" s="181"/>
      <c r="K73" s="129">
        <v>32.0</v>
      </c>
      <c r="L73" s="156" t="str">
        <f t="shared" si="12"/>
        <v> Stolz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Schreder</v>
      </c>
      <c r="D74" s="192"/>
      <c r="E74" s="181"/>
      <c r="K74" s="129">
        <v>33.0</v>
      </c>
      <c r="L74" s="156" t="str">
        <f t="shared" si="12"/>
        <v> Creamer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and Matian</v>
      </c>
      <c r="D75" s="178"/>
      <c r="E75" s="181"/>
      <c r="K75" s="129">
        <v>33.0</v>
      </c>
      <c r="L75" s="156" t="str">
        <f t="shared" si="12"/>
        <v> Stolz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Schreder</v>
      </c>
      <c r="D76" s="178"/>
      <c r="E76" s="181"/>
      <c r="K76" s="129">
        <v>34.0</v>
      </c>
      <c r="L76" s="156" t="str">
        <f t="shared" si="12"/>
        <v> Creamer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and Matian</v>
      </c>
      <c r="D77" s="178"/>
      <c r="E77" s="181"/>
      <c r="K77" s="129">
        <v>34.0</v>
      </c>
      <c r="L77" s="156" t="str">
        <f t="shared" si="12"/>
        <v> Stolz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Schreder</v>
      </c>
      <c r="D78" s="178"/>
      <c r="E78" s="181"/>
      <c r="K78" s="129">
        <v>35.0</v>
      </c>
      <c r="L78" s="156" t="str">
        <f t="shared" si="12"/>
        <v> Creamer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and Matian</v>
      </c>
      <c r="D79" s="178"/>
      <c r="E79" s="181"/>
      <c r="K79" s="129">
        <v>35.0</v>
      </c>
      <c r="L79" s="156" t="str">
        <f t="shared" si="12"/>
        <v> Stolz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Schreder</v>
      </c>
      <c r="D80" s="178"/>
      <c r="E80" s="181"/>
      <c r="K80" s="129">
        <v>36.0</v>
      </c>
      <c r="L80" s="156" t="str">
        <f t="shared" si="12"/>
        <v> Creamer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and Matian</v>
      </c>
      <c r="D81" s="178"/>
      <c r="E81" s="181"/>
      <c r="K81" s="129">
        <v>36.0</v>
      </c>
      <c r="L81" s="156" t="str">
        <f t="shared" si="12"/>
        <v> Stolz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Schreder</v>
      </c>
      <c r="D82" s="178"/>
      <c r="E82" s="181"/>
      <c r="K82" s="129">
        <v>37.0</v>
      </c>
      <c r="L82" s="156" t="str">
        <f t="shared" si="12"/>
        <v> Creamer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and Matian</v>
      </c>
      <c r="D83" s="178"/>
      <c r="E83" s="181"/>
      <c r="K83" s="129">
        <v>37.0</v>
      </c>
      <c r="L83" s="156" t="str">
        <f t="shared" si="12"/>
        <v> Stolz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Schreder</v>
      </c>
      <c r="D84" s="178"/>
      <c r="E84" s="181"/>
      <c r="K84" s="129">
        <v>38.0</v>
      </c>
      <c r="L84" s="156" t="str">
        <f t="shared" si="12"/>
        <v> Creamer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and Matian</v>
      </c>
      <c r="D85" s="178"/>
      <c r="E85" s="181"/>
      <c r="K85" s="129">
        <v>38.0</v>
      </c>
      <c r="L85" s="156" t="str">
        <f t="shared" si="12"/>
        <v> Stolz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Schreder</v>
      </c>
      <c r="D86" s="178"/>
      <c r="E86" s="181"/>
      <c r="K86" s="129">
        <v>39.0</v>
      </c>
      <c r="L86" s="156" t="str">
        <f t="shared" si="12"/>
        <v> Creamer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and Matian</v>
      </c>
      <c r="D87" s="178"/>
      <c r="E87" s="181"/>
      <c r="K87" s="129">
        <v>39.0</v>
      </c>
      <c r="L87" s="156" t="str">
        <f t="shared" si="12"/>
        <v> Stolz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Schreder</v>
      </c>
      <c r="D88" s="178"/>
      <c r="E88" s="181"/>
      <c r="K88" s="129">
        <v>40.0</v>
      </c>
      <c r="L88" s="156" t="str">
        <f t="shared" si="12"/>
        <v> Creamer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and Matian</v>
      </c>
      <c r="D89" s="178"/>
      <c r="E89" s="181"/>
      <c r="K89" s="129">
        <v>40.0</v>
      </c>
      <c r="L89" s="156" t="str">
        <f t="shared" si="12"/>
        <v> Stolz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128</v>
      </c>
      <c r="D3" s="189">
        <f t="shared" ref="D3:J3" si="1">SUMPRODUCT(D10:D90,MOD(ROW(D10:D90),2)=0)</f>
        <v>24</v>
      </c>
      <c r="E3" s="189">
        <f t="shared" si="1"/>
        <v>4</v>
      </c>
      <c r="F3" s="189">
        <f t="shared" si="1"/>
        <v>0</v>
      </c>
      <c r="G3" s="189">
        <f t="shared" si="1"/>
        <v>0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84</v>
      </c>
      <c r="M3" s="189">
        <f t="shared" ref="M3:S3" si="2">SUMPRODUCT(M10:M90,MOD(ROW(M10:M90),2)=0)</f>
        <v>24</v>
      </c>
      <c r="N3" s="189">
        <f t="shared" si="2"/>
        <v>5</v>
      </c>
      <c r="O3" s="189">
        <f t="shared" si="2"/>
        <v>0</v>
      </c>
      <c r="P3" s="189">
        <f t="shared" si="2"/>
        <v>1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122</v>
      </c>
      <c r="D4" s="191">
        <f t="shared" ref="D4:J4" si="3">SUMPRODUCT(D10:D90,MOD(ROW(D10:D90),2))</f>
        <v>22</v>
      </c>
      <c r="E4" s="191">
        <f t="shared" si="3"/>
        <v>6</v>
      </c>
      <c r="F4" s="191">
        <f t="shared" si="3"/>
        <v>0</v>
      </c>
      <c r="G4" s="191">
        <f t="shared" si="3"/>
        <v>2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121</v>
      </c>
      <c r="M4" s="191">
        <f t="shared" ref="M4:S4" si="4">SUMPRODUCT(M10:M90,MOD(ROW(M10:M90),2))</f>
        <v>25</v>
      </c>
      <c r="N4" s="191">
        <f t="shared" si="4"/>
        <v>4</v>
      </c>
      <c r="O4" s="191">
        <f t="shared" si="4"/>
        <v>3</v>
      </c>
      <c r="P4" s="191">
        <f t="shared" si="4"/>
        <v>0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Ravulapati %</v>
      </c>
      <c r="D5" s="137">
        <f t="shared" ref="D5:D6" si="6">IFERROR((E3/(E3+D3)),0)</f>
        <v>0.1428571429</v>
      </c>
      <c r="K5" s="135"/>
      <c r="L5" s="136" t="str">
        <f t="shared" ref="L5:L6" si="7">IFERROR((L10 &amp;" %"), "")</f>
        <v> Kulkarni %</v>
      </c>
      <c r="M5" s="137">
        <f t="shared" ref="M5:M6" si="8">IFERROR((N3/(N3+M3)),0)</f>
        <v>0.1724137931</v>
      </c>
      <c r="S5" s="132"/>
      <c r="T5" s="132"/>
      <c r="U5" s="7"/>
    </row>
    <row r="6">
      <c r="A6" s="14"/>
      <c r="B6" s="138"/>
      <c r="C6" s="139" t="str">
        <f t="shared" si="5"/>
        <v> Schoenfeld %</v>
      </c>
      <c r="D6" s="140">
        <f t="shared" si="6"/>
        <v>0.2142857143</v>
      </c>
      <c r="E6" s="141"/>
      <c r="F6" s="141"/>
      <c r="G6" s="141"/>
      <c r="H6" s="141"/>
      <c r="I6" s="141"/>
      <c r="J6" s="141"/>
      <c r="K6" s="138"/>
      <c r="L6" s="139" t="str">
        <f t="shared" si="7"/>
        <v> Byrne %</v>
      </c>
      <c r="M6" s="142">
        <f t="shared" si="8"/>
        <v>0.1379310345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Ravulapati")</f>
        <v> Ravulapati</v>
      </c>
      <c r="D10" s="197"/>
      <c r="E10" s="198">
        <v>1.0</v>
      </c>
      <c r="F10" s="199"/>
      <c r="G10" s="199"/>
      <c r="H10" s="177"/>
      <c r="I10" s="177"/>
      <c r="K10" s="129">
        <v>1.0</v>
      </c>
      <c r="L10" s="136" t="str">
        <f>IFERROR(__xludf.DUMMYFUNCTION("REGEXEXTRACT(L3, ""( .*)+"")")," Kulkarni")</f>
        <v> Kulkarni</v>
      </c>
      <c r="M10" s="200">
        <v>1.0</v>
      </c>
      <c r="N10" s="201"/>
      <c r="O10" s="177"/>
      <c r="P10" s="199"/>
      <c r="Q10" s="177"/>
      <c r="R10" s="177"/>
      <c r="T10" s="132"/>
      <c r="U10" s="7"/>
    </row>
    <row r="11">
      <c r="A11" s="8"/>
      <c r="B11" s="129">
        <v>1.0</v>
      </c>
      <c r="C11" s="136" t="str">
        <f>IFERROR(__xludf.DUMMYFUNCTION("REGEXEXTRACT(C4, ""( .*)+"")")," Schoenfeld")</f>
        <v> Schoenfeld</v>
      </c>
      <c r="D11" s="202">
        <v>1.0</v>
      </c>
      <c r="E11" s="203"/>
      <c r="F11" s="177"/>
      <c r="G11" s="177"/>
      <c r="H11" s="177"/>
      <c r="I11" s="177"/>
      <c r="K11" s="129">
        <v>1.0</v>
      </c>
      <c r="L11" s="136" t="str">
        <f>IFERROR(__xludf.DUMMYFUNCTION("REGEXEXTRACT(L4, ""( .*)+"")")," Byrne")</f>
        <v> Byrne</v>
      </c>
      <c r="M11" s="202">
        <v>1.0</v>
      </c>
      <c r="N11" s="203"/>
      <c r="O11" s="177"/>
      <c r="P11" s="177"/>
      <c r="Q11" s="177"/>
      <c r="R11" s="177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Ravulapati</v>
      </c>
      <c r="D12" s="202">
        <v>1.0</v>
      </c>
      <c r="E12" s="203"/>
      <c r="F12" s="177"/>
      <c r="G12" s="177"/>
      <c r="H12" s="177"/>
      <c r="I12" s="177"/>
      <c r="K12" s="129">
        <f t="shared" ref="K12:K69" si="11">K10+1</f>
        <v>2</v>
      </c>
      <c r="L12" s="156" t="str">
        <f t="shared" ref="L12:L89" si="12">L10</f>
        <v> Kulkarni</v>
      </c>
      <c r="M12" s="200">
        <v>1.0</v>
      </c>
      <c r="N12" s="201"/>
      <c r="O12" s="177"/>
      <c r="P12" s="177"/>
      <c r="Q12" s="177"/>
      <c r="R12" s="177"/>
      <c r="T12" s="132"/>
      <c r="U12" s="7"/>
    </row>
    <row r="13">
      <c r="A13" s="14"/>
      <c r="B13" s="135">
        <f t="shared" si="9"/>
        <v>2</v>
      </c>
      <c r="C13" s="156" t="str">
        <f t="shared" si="10"/>
        <v> Schoenfeld</v>
      </c>
      <c r="D13" s="200">
        <v>1.0</v>
      </c>
      <c r="E13" s="201"/>
      <c r="F13" s="177"/>
      <c r="G13" s="217">
        <v>1.0</v>
      </c>
      <c r="H13" s="177"/>
      <c r="I13" s="177"/>
      <c r="K13" s="135">
        <f t="shared" si="11"/>
        <v>2</v>
      </c>
      <c r="L13" s="156" t="str">
        <f t="shared" si="12"/>
        <v> Byrne</v>
      </c>
      <c r="M13" s="202">
        <v>1.0</v>
      </c>
      <c r="N13" s="188"/>
      <c r="O13" s="177"/>
      <c r="P13" s="177"/>
      <c r="Q13" s="177"/>
      <c r="R13" s="177"/>
      <c r="T13" s="132"/>
      <c r="U13" s="7"/>
    </row>
    <row r="14">
      <c r="A14" s="8"/>
      <c r="B14" s="129">
        <f t="shared" si="9"/>
        <v>3</v>
      </c>
      <c r="C14" s="156" t="str">
        <f t="shared" si="10"/>
        <v> Ravulapati</v>
      </c>
      <c r="D14" s="202">
        <v>1.0</v>
      </c>
      <c r="E14" s="203"/>
      <c r="F14" s="177"/>
      <c r="G14" s="177"/>
      <c r="H14" s="177"/>
      <c r="I14" s="177"/>
      <c r="K14" s="129">
        <f t="shared" si="11"/>
        <v>3</v>
      </c>
      <c r="L14" s="156" t="str">
        <f t="shared" si="12"/>
        <v> Kulkarni</v>
      </c>
      <c r="M14" s="202">
        <v>1.0</v>
      </c>
      <c r="N14" s="188"/>
      <c r="O14" s="177"/>
      <c r="P14" s="177"/>
      <c r="Q14" s="177"/>
      <c r="R14" s="177"/>
      <c r="T14" s="132"/>
      <c r="U14" s="7"/>
    </row>
    <row r="15">
      <c r="A15" s="14"/>
      <c r="B15" s="135">
        <f t="shared" si="9"/>
        <v>3</v>
      </c>
      <c r="C15" s="156" t="str">
        <f t="shared" si="10"/>
        <v> Schoenfeld</v>
      </c>
      <c r="D15" s="200">
        <v>1.0</v>
      </c>
      <c r="E15" s="201"/>
      <c r="F15" s="177"/>
      <c r="G15" s="177"/>
      <c r="H15" s="177"/>
      <c r="I15" s="177"/>
      <c r="K15" s="135">
        <f t="shared" si="11"/>
        <v>3</v>
      </c>
      <c r="L15" s="156" t="str">
        <f t="shared" si="12"/>
        <v> Byrne</v>
      </c>
      <c r="M15" s="200">
        <v>1.0</v>
      </c>
      <c r="N15" s="205"/>
      <c r="O15" s="177"/>
      <c r="P15" s="177"/>
      <c r="Q15" s="177"/>
      <c r="R15" s="177"/>
      <c r="T15" s="132"/>
      <c r="U15" s="7"/>
    </row>
    <row r="16">
      <c r="A16" s="8"/>
      <c r="B16" s="129">
        <f t="shared" si="9"/>
        <v>4</v>
      </c>
      <c r="C16" s="156" t="str">
        <f t="shared" si="10"/>
        <v> Ravulapati</v>
      </c>
      <c r="D16" s="200">
        <v>1.0</v>
      </c>
      <c r="E16" s="205"/>
      <c r="F16" s="177"/>
      <c r="G16" s="177"/>
      <c r="H16" s="177"/>
      <c r="I16" s="177"/>
      <c r="K16" s="129">
        <f t="shared" si="11"/>
        <v>4</v>
      </c>
      <c r="L16" s="156" t="str">
        <f t="shared" si="12"/>
        <v> Kulkarni</v>
      </c>
      <c r="M16" s="200">
        <v>1.0</v>
      </c>
      <c r="N16" s="205"/>
      <c r="O16" s="177"/>
      <c r="P16" s="177"/>
      <c r="Q16" s="177"/>
      <c r="R16" s="177"/>
      <c r="T16" s="132"/>
      <c r="U16" s="7"/>
    </row>
    <row r="17">
      <c r="A17" s="14"/>
      <c r="B17" s="135">
        <f t="shared" si="9"/>
        <v>4</v>
      </c>
      <c r="C17" s="156" t="str">
        <f t="shared" si="10"/>
        <v> Schoenfeld</v>
      </c>
      <c r="D17" s="200">
        <v>1.0</v>
      </c>
      <c r="E17" s="201"/>
      <c r="F17" s="177"/>
      <c r="G17" s="177"/>
      <c r="H17" s="177"/>
      <c r="I17" s="177"/>
      <c r="K17" s="135">
        <f t="shared" si="11"/>
        <v>4</v>
      </c>
      <c r="L17" s="156" t="str">
        <f t="shared" si="12"/>
        <v> Byrne</v>
      </c>
      <c r="M17" s="202">
        <v>1.0</v>
      </c>
      <c r="N17" s="203"/>
      <c r="O17" s="127">
        <v>1.0</v>
      </c>
      <c r="P17" s="177"/>
      <c r="Q17" s="177"/>
      <c r="R17" s="177"/>
      <c r="T17" s="132"/>
      <c r="U17" s="7"/>
    </row>
    <row r="18">
      <c r="A18" s="8"/>
      <c r="B18" s="129">
        <f t="shared" si="9"/>
        <v>5</v>
      </c>
      <c r="C18" s="156" t="str">
        <f t="shared" si="10"/>
        <v> Ravulapati</v>
      </c>
      <c r="D18" s="200">
        <v>1.0</v>
      </c>
      <c r="E18" s="201"/>
      <c r="F18" s="177"/>
      <c r="G18" s="191"/>
      <c r="H18" s="177"/>
      <c r="I18" s="177"/>
      <c r="K18" s="129">
        <f t="shared" si="11"/>
        <v>5</v>
      </c>
      <c r="L18" s="156" t="str">
        <f t="shared" si="12"/>
        <v> Kulkarni</v>
      </c>
      <c r="M18" s="197"/>
      <c r="N18" s="198">
        <v>1.0</v>
      </c>
      <c r="O18" s="177"/>
      <c r="P18" s="177"/>
      <c r="Q18" s="177"/>
      <c r="R18" s="177"/>
      <c r="T18" s="132"/>
      <c r="U18" s="7"/>
    </row>
    <row r="19">
      <c r="A19" s="14"/>
      <c r="B19" s="135">
        <f t="shared" si="9"/>
        <v>5</v>
      </c>
      <c r="C19" s="156" t="str">
        <f t="shared" si="10"/>
        <v> Schoenfeld</v>
      </c>
      <c r="D19" s="200">
        <v>1.0</v>
      </c>
      <c r="E19" s="205"/>
      <c r="F19" s="177"/>
      <c r="G19" s="177"/>
      <c r="H19" s="177"/>
      <c r="I19" s="177"/>
      <c r="K19" s="135">
        <f t="shared" si="11"/>
        <v>5</v>
      </c>
      <c r="L19" s="156" t="str">
        <f t="shared" si="12"/>
        <v> Byrne</v>
      </c>
      <c r="M19" s="206"/>
      <c r="N19" s="207">
        <v>1.0</v>
      </c>
      <c r="O19" s="177"/>
      <c r="P19" s="177"/>
      <c r="Q19" s="177"/>
      <c r="R19" s="177"/>
      <c r="T19" s="132"/>
      <c r="U19" s="7"/>
    </row>
    <row r="20">
      <c r="A20" s="8"/>
      <c r="B20" s="129">
        <f t="shared" si="9"/>
        <v>6</v>
      </c>
      <c r="C20" s="156" t="str">
        <f t="shared" si="10"/>
        <v> Ravulapati</v>
      </c>
      <c r="D20" s="200">
        <v>1.0</v>
      </c>
      <c r="E20" s="201"/>
      <c r="F20" s="177"/>
      <c r="G20" s="177"/>
      <c r="H20" s="177"/>
      <c r="I20" s="177"/>
      <c r="K20" s="129">
        <f t="shared" si="11"/>
        <v>6</v>
      </c>
      <c r="L20" s="156" t="str">
        <f t="shared" si="12"/>
        <v> Kulkarni</v>
      </c>
      <c r="M20" s="200">
        <v>1.0</v>
      </c>
      <c r="N20" s="205"/>
      <c r="O20" s="177"/>
      <c r="P20" s="177"/>
      <c r="Q20" s="177"/>
      <c r="R20" s="177"/>
      <c r="T20" s="132"/>
      <c r="U20" s="7"/>
    </row>
    <row r="21">
      <c r="A21" s="14"/>
      <c r="B21" s="135">
        <f t="shared" si="9"/>
        <v>6</v>
      </c>
      <c r="C21" s="156" t="str">
        <f t="shared" si="10"/>
        <v> Schoenfeld</v>
      </c>
      <c r="D21" s="200">
        <v>1.0</v>
      </c>
      <c r="E21" s="205"/>
      <c r="F21" s="177"/>
      <c r="G21" s="177"/>
      <c r="H21" s="177"/>
      <c r="I21" s="177"/>
      <c r="K21" s="135">
        <f t="shared" si="11"/>
        <v>6</v>
      </c>
      <c r="L21" s="156" t="str">
        <f t="shared" si="12"/>
        <v> Byrne</v>
      </c>
      <c r="M21" s="200">
        <v>1.0</v>
      </c>
      <c r="N21" s="205"/>
      <c r="O21" s="177"/>
      <c r="P21" s="177"/>
      <c r="Q21" s="177"/>
      <c r="R21" s="177"/>
      <c r="T21" s="132"/>
      <c r="U21" s="7"/>
    </row>
    <row r="22">
      <c r="A22" s="8"/>
      <c r="B22" s="129">
        <f t="shared" si="9"/>
        <v>7</v>
      </c>
      <c r="C22" s="156" t="str">
        <f t="shared" si="10"/>
        <v> Ravulapati</v>
      </c>
      <c r="D22" s="208"/>
      <c r="E22" s="207">
        <v>1.0</v>
      </c>
      <c r="F22" s="177"/>
      <c r="G22" s="177"/>
      <c r="H22" s="177"/>
      <c r="I22" s="177"/>
      <c r="K22" s="129">
        <f t="shared" si="11"/>
        <v>7</v>
      </c>
      <c r="L22" s="156" t="str">
        <f t="shared" si="12"/>
        <v> Kulkarni</v>
      </c>
      <c r="M22" s="200">
        <v>1.0</v>
      </c>
      <c r="N22" s="205"/>
      <c r="O22" s="177"/>
      <c r="P22" s="177"/>
      <c r="Q22" s="177"/>
      <c r="R22" s="177"/>
      <c r="T22" s="132"/>
      <c r="U22" s="7"/>
    </row>
    <row r="23">
      <c r="A23" s="14"/>
      <c r="B23" s="135">
        <f t="shared" si="9"/>
        <v>7</v>
      </c>
      <c r="C23" s="156" t="str">
        <f t="shared" si="10"/>
        <v> Schoenfeld</v>
      </c>
      <c r="D23" s="200">
        <v>1.0</v>
      </c>
      <c r="E23" s="205"/>
      <c r="F23" s="177"/>
      <c r="G23" s="177"/>
      <c r="H23" s="177"/>
      <c r="I23" s="177"/>
      <c r="K23" s="135">
        <f t="shared" si="11"/>
        <v>7</v>
      </c>
      <c r="L23" s="156" t="str">
        <f t="shared" si="12"/>
        <v> Byrne</v>
      </c>
      <c r="M23" s="197"/>
      <c r="N23" s="198">
        <v>1.0</v>
      </c>
      <c r="O23" s="177"/>
      <c r="P23" s="177"/>
      <c r="Q23" s="177"/>
      <c r="R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 Ravulapati</v>
      </c>
      <c r="D24" s="200">
        <v>1.0</v>
      </c>
      <c r="E24" s="198"/>
      <c r="F24" s="177"/>
      <c r="G24" s="177"/>
      <c r="H24" s="177"/>
      <c r="I24" s="177"/>
      <c r="K24" s="129">
        <f t="shared" si="11"/>
        <v>8</v>
      </c>
      <c r="L24" s="156" t="str">
        <f t="shared" si="12"/>
        <v> Kulkarni</v>
      </c>
      <c r="M24" s="202">
        <v>1.0</v>
      </c>
      <c r="N24" s="188"/>
      <c r="O24" s="177"/>
      <c r="P24" s="177"/>
      <c r="Q24" s="177"/>
      <c r="R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 Schoenfeld</v>
      </c>
      <c r="D25" s="202"/>
      <c r="E25" s="207">
        <v>1.0</v>
      </c>
      <c r="F25" s="177"/>
      <c r="G25" s="177"/>
      <c r="H25" s="177"/>
      <c r="I25" s="177"/>
      <c r="K25" s="135">
        <f t="shared" si="11"/>
        <v>8</v>
      </c>
      <c r="L25" s="156" t="str">
        <f t="shared" si="12"/>
        <v> Byrne</v>
      </c>
      <c r="M25" s="202">
        <v>1.0</v>
      </c>
      <c r="N25" s="203"/>
      <c r="O25" s="177"/>
      <c r="P25" s="177"/>
      <c r="Q25" s="177"/>
      <c r="R25" s="177"/>
      <c r="T25" s="132"/>
      <c r="U25" s="7"/>
    </row>
    <row r="26">
      <c r="A26" s="8"/>
      <c r="B26" s="129">
        <f t="shared" si="9"/>
        <v>9</v>
      </c>
      <c r="C26" s="156" t="str">
        <f t="shared" si="10"/>
        <v> Ravulapati</v>
      </c>
      <c r="D26" s="202">
        <v>1.0</v>
      </c>
      <c r="E26" s="188"/>
      <c r="F26" s="177"/>
      <c r="G26" s="177"/>
      <c r="H26" s="177"/>
      <c r="I26" s="177"/>
      <c r="K26" s="129">
        <f t="shared" si="11"/>
        <v>9</v>
      </c>
      <c r="L26" s="156" t="str">
        <f t="shared" si="12"/>
        <v> Kulkarni</v>
      </c>
      <c r="M26" s="136">
        <v>1.0</v>
      </c>
      <c r="N26" s="205"/>
      <c r="O26" s="177"/>
      <c r="P26" s="177"/>
      <c r="Q26" s="177"/>
      <c r="R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 Schoenfeld</v>
      </c>
      <c r="D27" s="202">
        <v>1.0</v>
      </c>
      <c r="E27" s="188"/>
      <c r="F27" s="177"/>
      <c r="G27" s="177"/>
      <c r="H27" s="177"/>
      <c r="I27" s="177"/>
      <c r="K27" s="135">
        <f t="shared" si="11"/>
        <v>9</v>
      </c>
      <c r="L27" s="156" t="str">
        <f t="shared" si="12"/>
        <v> Byrne</v>
      </c>
      <c r="M27" s="200">
        <v>1.0</v>
      </c>
      <c r="N27" s="205"/>
      <c r="O27" s="177"/>
      <c r="P27" s="177"/>
      <c r="Q27" s="177"/>
      <c r="R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 Ravulapati</v>
      </c>
      <c r="D28" s="197"/>
      <c r="E28" s="198">
        <v>1.0</v>
      </c>
      <c r="F28" s="177"/>
      <c r="G28" s="191"/>
      <c r="H28" s="177"/>
      <c r="I28" s="177"/>
      <c r="K28" s="129">
        <f t="shared" si="11"/>
        <v>10</v>
      </c>
      <c r="L28" s="156" t="str">
        <f t="shared" si="12"/>
        <v> Kulkarni</v>
      </c>
      <c r="M28" s="200">
        <v>1.0</v>
      </c>
      <c r="N28" s="205"/>
      <c r="O28" s="177"/>
      <c r="P28" s="177"/>
      <c r="Q28" s="177"/>
      <c r="R28" s="177"/>
      <c r="T28" s="132"/>
      <c r="U28" s="7"/>
    </row>
    <row r="29">
      <c r="A29" s="14"/>
      <c r="B29" s="135">
        <f t="shared" si="9"/>
        <v>10</v>
      </c>
      <c r="C29" s="156" t="str">
        <f t="shared" si="10"/>
        <v> Schoenfeld</v>
      </c>
      <c r="D29" s="197"/>
      <c r="E29" s="198">
        <v>1.0</v>
      </c>
      <c r="F29" s="177"/>
      <c r="G29" s="177"/>
      <c r="H29" s="177"/>
      <c r="I29" s="177"/>
      <c r="K29" s="135">
        <f t="shared" si="11"/>
        <v>10</v>
      </c>
      <c r="L29" s="156" t="str">
        <f t="shared" si="12"/>
        <v> Byrne</v>
      </c>
      <c r="M29" s="200">
        <v>1.0</v>
      </c>
      <c r="N29" s="205"/>
      <c r="O29" s="177"/>
      <c r="P29" s="177"/>
      <c r="Q29" s="177"/>
      <c r="R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 Ravulapati</v>
      </c>
      <c r="D30" s="200">
        <v>1.0</v>
      </c>
      <c r="E30" s="205"/>
      <c r="F30" s="177"/>
      <c r="G30" s="177"/>
      <c r="H30" s="177"/>
      <c r="I30" s="177"/>
      <c r="K30" s="129">
        <f t="shared" si="11"/>
        <v>11</v>
      </c>
      <c r="L30" s="156" t="str">
        <f t="shared" si="12"/>
        <v> Kulkarni</v>
      </c>
      <c r="M30" s="200">
        <v>1.0</v>
      </c>
      <c r="N30" s="205"/>
      <c r="O30" s="177"/>
      <c r="P30" s="177"/>
      <c r="Q30" s="177"/>
      <c r="R30" s="177"/>
      <c r="T30" s="132"/>
      <c r="U30" s="7"/>
    </row>
    <row r="31">
      <c r="A31" s="14"/>
      <c r="B31" s="135">
        <f t="shared" si="9"/>
        <v>11</v>
      </c>
      <c r="C31" s="156" t="str">
        <f t="shared" si="10"/>
        <v> Schoenfeld</v>
      </c>
      <c r="D31" s="200">
        <v>1.0</v>
      </c>
      <c r="E31" s="205"/>
      <c r="F31" s="177"/>
      <c r="G31" s="177"/>
      <c r="H31" s="177"/>
      <c r="I31" s="177"/>
      <c r="K31" s="135">
        <f t="shared" si="11"/>
        <v>11</v>
      </c>
      <c r="L31" s="156" t="str">
        <f t="shared" si="12"/>
        <v> Byrne</v>
      </c>
      <c r="M31" s="202">
        <v>1.0</v>
      </c>
      <c r="N31" s="203"/>
      <c r="O31" s="177"/>
      <c r="P31" s="177"/>
      <c r="Q31" s="177"/>
      <c r="R31" s="177"/>
      <c r="T31" s="132"/>
      <c r="U31" s="7"/>
    </row>
    <row r="32">
      <c r="A32" s="8"/>
      <c r="B32" s="129">
        <f t="shared" si="9"/>
        <v>12</v>
      </c>
      <c r="C32" s="156" t="str">
        <f t="shared" si="10"/>
        <v> Ravulapati</v>
      </c>
      <c r="D32" s="197"/>
      <c r="E32" s="198">
        <v>1.0</v>
      </c>
      <c r="F32" s="177"/>
      <c r="G32" s="177"/>
      <c r="H32" s="177"/>
      <c r="I32" s="177"/>
      <c r="K32" s="129">
        <f t="shared" si="11"/>
        <v>12</v>
      </c>
      <c r="L32" s="156" t="str">
        <f t="shared" si="12"/>
        <v> Kulkarni</v>
      </c>
      <c r="M32" s="197"/>
      <c r="N32" s="198">
        <v>1.0</v>
      </c>
      <c r="O32" s="177"/>
      <c r="P32" s="177"/>
      <c r="Q32" s="177"/>
      <c r="R32" s="177"/>
      <c r="T32" s="132"/>
      <c r="U32" s="7"/>
    </row>
    <row r="33">
      <c r="A33" s="14"/>
      <c r="B33" s="135">
        <f t="shared" si="9"/>
        <v>12</v>
      </c>
      <c r="C33" s="156" t="str">
        <f t="shared" si="10"/>
        <v> Schoenfeld</v>
      </c>
      <c r="D33" s="200">
        <v>1.0</v>
      </c>
      <c r="E33" s="205"/>
      <c r="F33" s="177"/>
      <c r="G33" s="177"/>
      <c r="H33" s="177"/>
      <c r="I33" s="177"/>
      <c r="K33" s="135">
        <f t="shared" si="11"/>
        <v>12</v>
      </c>
      <c r="L33" s="156" t="str">
        <f t="shared" si="12"/>
        <v> Byrne</v>
      </c>
      <c r="M33" s="200">
        <v>1.0</v>
      </c>
      <c r="N33" s="201"/>
      <c r="O33" s="177"/>
      <c r="P33" s="177"/>
      <c r="Q33" s="177"/>
      <c r="R33" s="177"/>
      <c r="T33" s="132"/>
      <c r="U33" s="7"/>
    </row>
    <row r="34">
      <c r="A34" s="8"/>
      <c r="B34" s="129">
        <f t="shared" si="9"/>
        <v>13</v>
      </c>
      <c r="C34" s="156" t="str">
        <f t="shared" si="10"/>
        <v> Ravulapati</v>
      </c>
      <c r="D34" s="200">
        <v>1.0</v>
      </c>
      <c r="E34" s="205"/>
      <c r="F34" s="177"/>
      <c r="G34" s="177"/>
      <c r="H34" s="177"/>
      <c r="I34" s="177"/>
      <c r="K34" s="129">
        <f t="shared" si="11"/>
        <v>13</v>
      </c>
      <c r="L34" s="156" t="str">
        <f t="shared" si="12"/>
        <v> Kulkarni</v>
      </c>
      <c r="M34" s="202">
        <v>1.0</v>
      </c>
      <c r="N34" s="188"/>
      <c r="O34" s="177"/>
      <c r="P34" s="177"/>
      <c r="Q34" s="177"/>
      <c r="R34" s="177"/>
      <c r="T34" s="132"/>
      <c r="U34" s="7"/>
    </row>
    <row r="35">
      <c r="A35" s="14"/>
      <c r="B35" s="135">
        <f t="shared" si="9"/>
        <v>13</v>
      </c>
      <c r="C35" s="156" t="str">
        <f t="shared" si="10"/>
        <v> Schoenfeld</v>
      </c>
      <c r="D35" s="202">
        <v>1.0</v>
      </c>
      <c r="E35" s="188"/>
      <c r="F35" s="177"/>
      <c r="G35" s="177"/>
      <c r="H35" s="177"/>
      <c r="I35" s="177"/>
      <c r="K35" s="135">
        <f t="shared" si="11"/>
        <v>13</v>
      </c>
      <c r="L35" s="156" t="str">
        <f t="shared" si="12"/>
        <v> Byrne</v>
      </c>
      <c r="M35" s="200">
        <v>1.0</v>
      </c>
      <c r="N35" s="205"/>
      <c r="O35" s="177"/>
      <c r="P35" s="177"/>
      <c r="Q35" s="177"/>
      <c r="R35" s="177"/>
      <c r="T35" s="132"/>
      <c r="U35" s="7"/>
    </row>
    <row r="36">
      <c r="A36" s="8"/>
      <c r="B36" s="129">
        <f t="shared" si="9"/>
        <v>14</v>
      </c>
      <c r="C36" s="156" t="str">
        <f t="shared" si="10"/>
        <v> Ravulapati</v>
      </c>
      <c r="D36" s="202">
        <v>1.0</v>
      </c>
      <c r="E36" s="205"/>
      <c r="F36" s="177"/>
      <c r="G36" s="177"/>
      <c r="H36" s="177"/>
      <c r="I36" s="177"/>
      <c r="K36" s="129">
        <f t="shared" si="11"/>
        <v>14</v>
      </c>
      <c r="L36" s="156" t="str">
        <f t="shared" si="12"/>
        <v> Kulkarni</v>
      </c>
      <c r="M36" s="202">
        <v>1.0</v>
      </c>
      <c r="N36" s="205"/>
      <c r="O36" s="177"/>
      <c r="P36" s="177"/>
      <c r="Q36" s="177"/>
      <c r="R36" s="177"/>
      <c r="T36" s="132"/>
      <c r="U36" s="7"/>
    </row>
    <row r="37">
      <c r="A37" s="14"/>
      <c r="B37" s="135">
        <f t="shared" si="9"/>
        <v>14</v>
      </c>
      <c r="C37" s="156" t="str">
        <f t="shared" si="10"/>
        <v> Schoenfeld</v>
      </c>
      <c r="D37" s="202">
        <v>1.0</v>
      </c>
      <c r="E37" s="188"/>
      <c r="F37" s="177"/>
      <c r="G37" s="177"/>
      <c r="H37" s="177"/>
      <c r="I37" s="177"/>
      <c r="K37" s="135">
        <f t="shared" si="11"/>
        <v>14</v>
      </c>
      <c r="L37" s="156" t="str">
        <f t="shared" si="12"/>
        <v> Byrne</v>
      </c>
      <c r="M37" s="202">
        <v>1.0</v>
      </c>
      <c r="N37" s="188"/>
      <c r="O37" s="177"/>
      <c r="P37" s="177"/>
      <c r="Q37" s="177"/>
      <c r="R37" s="177"/>
      <c r="T37" s="132"/>
      <c r="U37" s="7"/>
    </row>
    <row r="38">
      <c r="A38" s="8"/>
      <c r="B38" s="129">
        <f t="shared" si="9"/>
        <v>15</v>
      </c>
      <c r="C38" s="156" t="str">
        <f t="shared" si="10"/>
        <v> Ravulapati</v>
      </c>
      <c r="D38" s="202">
        <v>1.0</v>
      </c>
      <c r="E38" s="205"/>
      <c r="F38" s="177"/>
      <c r="G38" s="177"/>
      <c r="H38" s="177"/>
      <c r="I38" s="177"/>
      <c r="K38" s="129">
        <f t="shared" si="11"/>
        <v>15</v>
      </c>
      <c r="L38" s="156" t="str">
        <f t="shared" si="12"/>
        <v> Kulkarni</v>
      </c>
      <c r="M38" s="202">
        <v>1.0</v>
      </c>
      <c r="N38" s="205"/>
      <c r="O38" s="177"/>
      <c r="P38" s="177"/>
      <c r="Q38" s="177"/>
      <c r="R38" s="177"/>
      <c r="T38" s="132"/>
      <c r="U38" s="7"/>
    </row>
    <row r="39">
      <c r="A39" s="14"/>
      <c r="B39" s="135">
        <f t="shared" si="9"/>
        <v>15</v>
      </c>
      <c r="C39" s="156" t="str">
        <f t="shared" si="10"/>
        <v> Schoenfeld</v>
      </c>
      <c r="D39" s="200">
        <v>1.0</v>
      </c>
      <c r="E39" s="205"/>
      <c r="F39" s="177"/>
      <c r="G39" s="177"/>
      <c r="H39" s="177"/>
      <c r="I39" s="177"/>
      <c r="K39" s="135">
        <f t="shared" si="11"/>
        <v>15</v>
      </c>
      <c r="L39" s="156" t="str">
        <f t="shared" si="12"/>
        <v> Byrne</v>
      </c>
      <c r="M39" s="202">
        <v>1.0</v>
      </c>
      <c r="N39" s="205"/>
      <c r="O39" s="177"/>
      <c r="P39" s="177"/>
      <c r="Q39" s="177"/>
      <c r="R39" s="177"/>
      <c r="T39" s="132"/>
      <c r="U39" s="7"/>
    </row>
    <row r="40">
      <c r="A40" s="8"/>
      <c r="B40" s="129">
        <f t="shared" si="9"/>
        <v>16</v>
      </c>
      <c r="C40" s="156" t="str">
        <f t="shared" si="10"/>
        <v> Ravulapati</v>
      </c>
      <c r="D40" s="180">
        <v>1.0</v>
      </c>
      <c r="E40" s="179"/>
      <c r="F40" s="177"/>
      <c r="G40" s="177"/>
      <c r="H40" s="177"/>
      <c r="I40" s="177"/>
      <c r="K40" s="129">
        <f t="shared" si="11"/>
        <v>16</v>
      </c>
      <c r="L40" s="156" t="str">
        <f t="shared" si="12"/>
        <v> Kulkarni</v>
      </c>
      <c r="M40" s="202">
        <v>1.0</v>
      </c>
      <c r="N40" s="205"/>
      <c r="O40" s="177"/>
      <c r="P40" s="177"/>
      <c r="Q40" s="177"/>
      <c r="R40" s="177"/>
      <c r="T40" s="132"/>
      <c r="U40" s="7"/>
    </row>
    <row r="41">
      <c r="A41" s="14"/>
      <c r="B41" s="135">
        <f t="shared" si="9"/>
        <v>16</v>
      </c>
      <c r="C41" s="156" t="str">
        <f t="shared" si="10"/>
        <v> Schoenfeld</v>
      </c>
      <c r="D41" s="180">
        <v>1.0</v>
      </c>
      <c r="E41" s="181"/>
      <c r="F41" s="177"/>
      <c r="G41" s="177"/>
      <c r="H41" s="177"/>
      <c r="I41" s="177"/>
      <c r="K41" s="135">
        <f t="shared" si="11"/>
        <v>16</v>
      </c>
      <c r="L41" s="156" t="str">
        <f t="shared" si="12"/>
        <v> Byrne</v>
      </c>
      <c r="M41" s="202">
        <v>1.0</v>
      </c>
      <c r="N41" s="201"/>
      <c r="O41" s="177"/>
      <c r="P41" s="177"/>
      <c r="Q41" s="177"/>
      <c r="R41" s="177"/>
      <c r="T41" s="132"/>
      <c r="U41" s="7"/>
    </row>
    <row r="42">
      <c r="A42" s="8"/>
      <c r="B42" s="129">
        <f t="shared" si="9"/>
        <v>17</v>
      </c>
      <c r="C42" s="156" t="str">
        <f t="shared" si="10"/>
        <v> Ravulapati</v>
      </c>
      <c r="D42" s="180">
        <v>1.0</v>
      </c>
      <c r="E42" s="181"/>
      <c r="F42" s="177"/>
      <c r="G42" s="177"/>
      <c r="H42" s="177"/>
      <c r="I42" s="177"/>
      <c r="K42" s="129">
        <f t="shared" si="11"/>
        <v>17</v>
      </c>
      <c r="L42" s="156" t="str">
        <f t="shared" si="12"/>
        <v> Kulkarni</v>
      </c>
      <c r="M42" s="208"/>
      <c r="N42" s="198">
        <v>1.0</v>
      </c>
      <c r="O42" s="177"/>
      <c r="P42" s="177"/>
      <c r="Q42" s="177"/>
      <c r="R42" s="177"/>
      <c r="T42" s="132"/>
      <c r="U42" s="7"/>
    </row>
    <row r="43">
      <c r="A43" s="14"/>
      <c r="B43" s="135">
        <f t="shared" si="9"/>
        <v>17</v>
      </c>
      <c r="C43" s="156" t="str">
        <f t="shared" si="10"/>
        <v> Schoenfeld</v>
      </c>
      <c r="D43" s="178"/>
      <c r="E43" s="179">
        <v>1.0</v>
      </c>
      <c r="F43" s="177"/>
      <c r="G43" s="177"/>
      <c r="H43" s="177"/>
      <c r="I43" s="177"/>
      <c r="K43" s="135">
        <f t="shared" si="11"/>
        <v>17</v>
      </c>
      <c r="L43" s="156" t="str">
        <f t="shared" si="12"/>
        <v> Byrne</v>
      </c>
      <c r="M43" s="180">
        <v>1.0</v>
      </c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Ravulapati</v>
      </c>
      <c r="D44" s="180">
        <v>1.0</v>
      </c>
      <c r="E44" s="181"/>
      <c r="F44" s="177"/>
      <c r="G44" s="177"/>
      <c r="H44" s="177"/>
      <c r="I44" s="177"/>
      <c r="K44" s="129">
        <f t="shared" si="11"/>
        <v>18</v>
      </c>
      <c r="L44" s="156" t="str">
        <f t="shared" si="12"/>
        <v> Kulkarni</v>
      </c>
      <c r="M44" s="180">
        <v>1.0</v>
      </c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Schoenfeld</v>
      </c>
      <c r="D45" s="180">
        <v>1.0</v>
      </c>
      <c r="E45" s="179"/>
      <c r="F45" s="177"/>
      <c r="G45" s="177"/>
      <c r="H45" s="177"/>
      <c r="I45" s="177"/>
      <c r="K45" s="129">
        <f t="shared" si="11"/>
        <v>18</v>
      </c>
      <c r="L45" s="156" t="str">
        <f t="shared" si="12"/>
        <v> Byrne</v>
      </c>
      <c r="M45" s="180">
        <v>1.0</v>
      </c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Ravulapati</v>
      </c>
      <c r="D46" s="180">
        <v>1.0</v>
      </c>
      <c r="E46" s="181"/>
      <c r="F46" s="177"/>
      <c r="G46" s="177"/>
      <c r="H46" s="177"/>
      <c r="I46" s="177"/>
      <c r="K46" s="135">
        <f t="shared" si="11"/>
        <v>19</v>
      </c>
      <c r="L46" s="156" t="str">
        <f t="shared" si="12"/>
        <v> Kulkarni</v>
      </c>
      <c r="M46" s="180">
        <v>1.0</v>
      </c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Schoenfeld</v>
      </c>
      <c r="D47" s="180"/>
      <c r="E47" s="179">
        <v>1.0</v>
      </c>
      <c r="F47" s="177"/>
      <c r="G47" s="177"/>
      <c r="H47" s="177"/>
      <c r="I47" s="177"/>
      <c r="K47" s="129">
        <f t="shared" si="11"/>
        <v>19</v>
      </c>
      <c r="L47" s="156" t="str">
        <f t="shared" si="12"/>
        <v> Byrne</v>
      </c>
      <c r="M47" s="180"/>
      <c r="N47" s="179">
        <v>1.0</v>
      </c>
      <c r="T47" s="132"/>
      <c r="U47" s="7"/>
    </row>
    <row r="48">
      <c r="A48" s="14"/>
      <c r="B48" s="135">
        <f t="shared" si="9"/>
        <v>20</v>
      </c>
      <c r="C48" s="156" t="str">
        <f t="shared" si="10"/>
        <v> Ravulapati</v>
      </c>
      <c r="D48" s="180">
        <v>1.0</v>
      </c>
      <c r="E48" s="181"/>
      <c r="F48" s="177"/>
      <c r="G48" s="177"/>
      <c r="H48" s="177"/>
      <c r="I48" s="177"/>
      <c r="K48" s="135">
        <f t="shared" si="11"/>
        <v>20</v>
      </c>
      <c r="L48" s="156" t="str">
        <f t="shared" si="12"/>
        <v> Kulkarni</v>
      </c>
      <c r="M48" s="180">
        <v>1.0</v>
      </c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Schoenfeld</v>
      </c>
      <c r="D49" s="180">
        <v>1.0</v>
      </c>
      <c r="E49" s="179"/>
      <c r="F49" s="177"/>
      <c r="G49" s="177"/>
      <c r="H49" s="177"/>
      <c r="I49" s="177"/>
      <c r="K49" s="129">
        <f t="shared" si="11"/>
        <v>20</v>
      </c>
      <c r="L49" s="156" t="str">
        <f t="shared" si="12"/>
        <v> Byrne</v>
      </c>
      <c r="M49" s="180"/>
      <c r="N49" s="179">
        <v>1.0</v>
      </c>
      <c r="T49" s="132"/>
      <c r="U49" s="7"/>
    </row>
    <row r="50">
      <c r="A50" s="8"/>
      <c r="B50" s="129">
        <f t="shared" si="9"/>
        <v>21</v>
      </c>
      <c r="C50" s="156" t="str">
        <f t="shared" si="10"/>
        <v> Ravulapati</v>
      </c>
      <c r="D50" s="180">
        <v>1.0</v>
      </c>
      <c r="E50" s="181"/>
      <c r="F50" s="177"/>
      <c r="G50" s="177"/>
      <c r="H50" s="177"/>
      <c r="I50" s="177"/>
      <c r="K50" s="129">
        <f t="shared" si="11"/>
        <v>21</v>
      </c>
      <c r="L50" s="156" t="str">
        <f t="shared" si="12"/>
        <v> Kulkarni</v>
      </c>
      <c r="M50" s="180">
        <v>1.0</v>
      </c>
      <c r="N50" s="181"/>
      <c r="P50" s="136">
        <v>1.0</v>
      </c>
      <c r="T50" s="132"/>
      <c r="U50" s="7"/>
    </row>
    <row r="51">
      <c r="A51" s="14"/>
      <c r="B51" s="135">
        <f t="shared" si="9"/>
        <v>21</v>
      </c>
      <c r="C51" s="156" t="str">
        <f t="shared" si="10"/>
        <v> Schoenfeld</v>
      </c>
      <c r="D51" s="180">
        <v>1.0</v>
      </c>
      <c r="E51" s="181"/>
      <c r="F51" s="177"/>
      <c r="G51" s="177"/>
      <c r="H51" s="177"/>
      <c r="I51" s="177"/>
      <c r="K51" s="135">
        <f t="shared" si="11"/>
        <v>21</v>
      </c>
      <c r="L51" s="156" t="str">
        <f t="shared" si="12"/>
        <v> Byrne</v>
      </c>
      <c r="M51" s="180">
        <v>1.0</v>
      </c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Ravulapati</v>
      </c>
      <c r="D52" s="180">
        <v>1.0</v>
      </c>
      <c r="E52" s="181"/>
      <c r="F52" s="177"/>
      <c r="G52" s="177"/>
      <c r="H52" s="177"/>
      <c r="I52" s="177"/>
      <c r="K52" s="129">
        <f t="shared" si="11"/>
        <v>22</v>
      </c>
      <c r="L52" s="156" t="str">
        <f t="shared" si="12"/>
        <v> Kulkarni</v>
      </c>
      <c r="M52" s="180">
        <v>1.0</v>
      </c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Schoenfeld</v>
      </c>
      <c r="D53" s="178"/>
      <c r="E53" s="179">
        <v>1.0</v>
      </c>
      <c r="F53" s="177"/>
      <c r="G53" s="177"/>
      <c r="H53" s="177"/>
      <c r="I53" s="177"/>
      <c r="K53" s="135">
        <f t="shared" si="11"/>
        <v>22</v>
      </c>
      <c r="L53" s="156" t="str">
        <f t="shared" si="12"/>
        <v> Byrne</v>
      </c>
      <c r="M53" s="180">
        <v>1.0</v>
      </c>
      <c r="N53" s="179"/>
      <c r="O53" s="136">
        <v>1.0</v>
      </c>
      <c r="T53" s="132"/>
      <c r="U53" s="7"/>
    </row>
    <row r="54">
      <c r="A54" s="8"/>
      <c r="B54" s="129">
        <f t="shared" si="9"/>
        <v>23</v>
      </c>
      <c r="C54" s="156" t="str">
        <f t="shared" si="10"/>
        <v> Ravulapati</v>
      </c>
      <c r="D54" s="180">
        <v>1.0</v>
      </c>
      <c r="E54" s="181"/>
      <c r="F54" s="177"/>
      <c r="G54" s="177"/>
      <c r="H54" s="177"/>
      <c r="I54" s="177"/>
      <c r="K54" s="129">
        <f t="shared" si="11"/>
        <v>23</v>
      </c>
      <c r="L54" s="156" t="str">
        <f t="shared" si="12"/>
        <v> Kulkarni</v>
      </c>
      <c r="M54" s="178"/>
      <c r="N54" s="179">
        <v>1.0</v>
      </c>
      <c r="T54" s="132"/>
      <c r="U54" s="7"/>
    </row>
    <row r="55">
      <c r="A55" s="14"/>
      <c r="B55" s="135">
        <f t="shared" si="9"/>
        <v>23</v>
      </c>
      <c r="C55" s="156" t="str">
        <f t="shared" si="10"/>
        <v> Schoenfeld</v>
      </c>
      <c r="D55" s="180">
        <v>1.0</v>
      </c>
      <c r="E55" s="181"/>
      <c r="K55" s="135">
        <f t="shared" si="11"/>
        <v>23</v>
      </c>
      <c r="L55" s="156" t="str">
        <f t="shared" si="12"/>
        <v> Byrne</v>
      </c>
      <c r="M55" s="180">
        <v>1.0</v>
      </c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Ravulapati</v>
      </c>
      <c r="D56" s="180">
        <v>1.0</v>
      </c>
      <c r="E56" s="181"/>
      <c r="K56" s="129">
        <f t="shared" si="11"/>
        <v>24</v>
      </c>
      <c r="L56" s="156" t="str">
        <f t="shared" si="12"/>
        <v> Kulkarni</v>
      </c>
      <c r="M56" s="180">
        <v>1.0</v>
      </c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Schoenfeld</v>
      </c>
      <c r="D57" s="180">
        <v>1.0</v>
      </c>
      <c r="E57" s="181"/>
      <c r="G57" s="136">
        <v>1.0</v>
      </c>
      <c r="K57" s="129">
        <f t="shared" si="11"/>
        <v>24</v>
      </c>
      <c r="L57" s="156" t="str">
        <f t="shared" si="12"/>
        <v> Byrne</v>
      </c>
      <c r="M57" s="180">
        <v>1.0</v>
      </c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Ravulapati</v>
      </c>
      <c r="D58" s="180">
        <v>1.0</v>
      </c>
      <c r="E58" s="181"/>
      <c r="K58" s="135">
        <f t="shared" si="11"/>
        <v>25</v>
      </c>
      <c r="L58" s="156" t="str">
        <f t="shared" si="12"/>
        <v> Kulkarni</v>
      </c>
      <c r="M58" s="180">
        <v>1.0</v>
      </c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Schoenfeld</v>
      </c>
      <c r="D59" s="180">
        <v>1.0</v>
      </c>
      <c r="E59" s="181"/>
      <c r="K59" s="129">
        <f t="shared" si="11"/>
        <v>25</v>
      </c>
      <c r="L59" s="156" t="str">
        <f t="shared" si="12"/>
        <v> Byrne</v>
      </c>
      <c r="M59" s="180">
        <v>1.0</v>
      </c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Ravulapati</v>
      </c>
      <c r="D60" s="180">
        <v>1.0</v>
      </c>
      <c r="E60" s="181"/>
      <c r="K60" s="135">
        <f t="shared" si="11"/>
        <v>26</v>
      </c>
      <c r="L60" s="156" t="str">
        <f t="shared" si="12"/>
        <v> Kulkarni</v>
      </c>
      <c r="M60" s="180">
        <v>1.0</v>
      </c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Schoenfeld</v>
      </c>
      <c r="D61" s="180">
        <v>1.0</v>
      </c>
      <c r="E61" s="181"/>
      <c r="K61" s="129">
        <f t="shared" si="11"/>
        <v>26</v>
      </c>
      <c r="L61" s="156" t="str">
        <f t="shared" si="12"/>
        <v> Byrne</v>
      </c>
      <c r="M61" s="180">
        <v>1.0</v>
      </c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Ravulapati</v>
      </c>
      <c r="D62" s="180">
        <v>1.0</v>
      </c>
      <c r="E62" s="181"/>
      <c r="K62" s="135">
        <f t="shared" si="11"/>
        <v>27</v>
      </c>
      <c r="L62" s="156" t="str">
        <f t="shared" si="12"/>
        <v> Kulkarni</v>
      </c>
      <c r="M62" s="178"/>
      <c r="N62" s="179">
        <v>1.0</v>
      </c>
      <c r="T62" s="132"/>
      <c r="U62" s="7"/>
    </row>
    <row r="63">
      <c r="A63" s="8"/>
      <c r="B63" s="129">
        <f t="shared" si="9"/>
        <v>27</v>
      </c>
      <c r="C63" s="156" t="str">
        <f t="shared" si="10"/>
        <v> Schoenfeld</v>
      </c>
      <c r="D63" s="180">
        <v>1.0</v>
      </c>
      <c r="E63" s="181"/>
      <c r="K63" s="129">
        <f t="shared" si="11"/>
        <v>27</v>
      </c>
      <c r="L63" s="156" t="str">
        <f t="shared" si="12"/>
        <v> Byrne</v>
      </c>
      <c r="M63" s="180">
        <v>1.0</v>
      </c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Ravulapati</v>
      </c>
      <c r="D64" s="180">
        <v>1.0</v>
      </c>
      <c r="E64" s="181"/>
      <c r="K64" s="135">
        <f t="shared" si="11"/>
        <v>28</v>
      </c>
      <c r="L64" s="156" t="str">
        <f t="shared" si="12"/>
        <v> Kulkarni</v>
      </c>
      <c r="M64" s="180">
        <v>1.0</v>
      </c>
      <c r="N64" s="179"/>
      <c r="T64" s="132"/>
      <c r="U64" s="7"/>
    </row>
    <row r="65">
      <c r="A65" s="8"/>
      <c r="B65" s="129">
        <f t="shared" si="9"/>
        <v>28</v>
      </c>
      <c r="C65" s="156" t="str">
        <f t="shared" si="10"/>
        <v> Schoenfeld</v>
      </c>
      <c r="D65" s="178"/>
      <c r="E65" s="179">
        <v>1.0</v>
      </c>
      <c r="K65" s="129">
        <f t="shared" si="11"/>
        <v>28</v>
      </c>
      <c r="L65" s="156" t="str">
        <f t="shared" si="12"/>
        <v> Byrne</v>
      </c>
      <c r="M65" s="180">
        <v>1.0</v>
      </c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Ravulapati</v>
      </c>
      <c r="D66" s="178"/>
      <c r="E66" s="181"/>
      <c r="K66" s="135">
        <f t="shared" si="11"/>
        <v>29</v>
      </c>
      <c r="L66" s="156" t="str">
        <f t="shared" si="12"/>
        <v> Kulkarni</v>
      </c>
      <c r="M66" s="180">
        <v>1.0</v>
      </c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Schoenfeld</v>
      </c>
      <c r="D67" s="178"/>
      <c r="E67" s="181"/>
      <c r="K67" s="135">
        <f t="shared" si="11"/>
        <v>29</v>
      </c>
      <c r="L67" s="156" t="str">
        <f t="shared" si="12"/>
        <v> Byrne</v>
      </c>
      <c r="M67" s="180">
        <v>1.0</v>
      </c>
      <c r="N67" s="181"/>
      <c r="O67" s="136">
        <v>1.0</v>
      </c>
      <c r="T67" s="132"/>
      <c r="U67" s="7"/>
    </row>
    <row r="68">
      <c r="A68" s="14"/>
      <c r="B68" s="135">
        <f t="shared" si="9"/>
        <v>30</v>
      </c>
      <c r="C68" s="156" t="str">
        <f t="shared" si="10"/>
        <v> Ravulapati</v>
      </c>
      <c r="D68" s="178"/>
      <c r="E68" s="181"/>
      <c r="K68" s="135">
        <f t="shared" si="11"/>
        <v>30</v>
      </c>
      <c r="L68" s="156" t="str">
        <f t="shared" si="12"/>
        <v> Kulkarni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Schoenfeld</v>
      </c>
      <c r="D69" s="178"/>
      <c r="E69" s="181"/>
      <c r="K69" s="135">
        <f t="shared" si="11"/>
        <v>30</v>
      </c>
      <c r="L69" s="156" t="str">
        <f t="shared" si="12"/>
        <v> Byrne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Ravulapati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Kulkarni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Schoenfeld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Byrne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Ravulapati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Kulkarni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Schoenfeld</v>
      </c>
      <c r="D73" s="178"/>
      <c r="E73" s="181"/>
      <c r="K73" s="129">
        <v>32.0</v>
      </c>
      <c r="L73" s="156" t="str">
        <f t="shared" si="12"/>
        <v> Byrne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Ravulapati</v>
      </c>
      <c r="D74" s="192"/>
      <c r="E74" s="181"/>
      <c r="K74" s="129">
        <v>33.0</v>
      </c>
      <c r="L74" s="156" t="str">
        <f t="shared" si="12"/>
        <v> Kulkarni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Schoenfeld</v>
      </c>
      <c r="D75" s="178"/>
      <c r="E75" s="181"/>
      <c r="K75" s="129">
        <v>33.0</v>
      </c>
      <c r="L75" s="156" t="str">
        <f t="shared" si="12"/>
        <v> Byrne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Ravulapati</v>
      </c>
      <c r="D76" s="178"/>
      <c r="E76" s="181"/>
      <c r="K76" s="129">
        <v>34.0</v>
      </c>
      <c r="L76" s="156" t="str">
        <f t="shared" si="12"/>
        <v> Kulkarni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Schoenfeld</v>
      </c>
      <c r="D77" s="178"/>
      <c r="E77" s="181"/>
      <c r="K77" s="129">
        <v>34.0</v>
      </c>
      <c r="L77" s="156" t="str">
        <f t="shared" si="12"/>
        <v> Byrne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Ravulapati</v>
      </c>
      <c r="D78" s="178"/>
      <c r="E78" s="181"/>
      <c r="K78" s="129">
        <v>35.0</v>
      </c>
      <c r="L78" s="156" t="str">
        <f t="shared" si="12"/>
        <v> Kulkarni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Schoenfeld</v>
      </c>
      <c r="D79" s="178"/>
      <c r="E79" s="181"/>
      <c r="K79" s="129">
        <v>35.0</v>
      </c>
      <c r="L79" s="156" t="str">
        <f t="shared" si="12"/>
        <v> Byrne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Ravulapati</v>
      </c>
      <c r="D80" s="178"/>
      <c r="E80" s="181"/>
      <c r="K80" s="129">
        <v>36.0</v>
      </c>
      <c r="L80" s="156" t="str">
        <f t="shared" si="12"/>
        <v> Kulkarni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Schoenfeld</v>
      </c>
      <c r="D81" s="178"/>
      <c r="E81" s="181"/>
      <c r="K81" s="129">
        <v>36.0</v>
      </c>
      <c r="L81" s="156" t="str">
        <f t="shared" si="12"/>
        <v> Byrne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Ravulapati</v>
      </c>
      <c r="D82" s="178"/>
      <c r="E82" s="181"/>
      <c r="K82" s="129">
        <v>37.0</v>
      </c>
      <c r="L82" s="156" t="str">
        <f t="shared" si="12"/>
        <v> Kulkarni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Schoenfeld</v>
      </c>
      <c r="D83" s="178"/>
      <c r="E83" s="181"/>
      <c r="K83" s="129">
        <v>37.0</v>
      </c>
      <c r="L83" s="156" t="str">
        <f t="shared" si="12"/>
        <v> Byrne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Ravulapati</v>
      </c>
      <c r="D84" s="178"/>
      <c r="E84" s="181"/>
      <c r="K84" s="129">
        <v>38.0</v>
      </c>
      <c r="L84" s="156" t="str">
        <f t="shared" si="12"/>
        <v> Kulkarni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Schoenfeld</v>
      </c>
      <c r="D85" s="178"/>
      <c r="E85" s="181"/>
      <c r="K85" s="129">
        <v>38.0</v>
      </c>
      <c r="L85" s="156" t="str">
        <f t="shared" si="12"/>
        <v> Byrne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Ravulapati</v>
      </c>
      <c r="D86" s="178"/>
      <c r="E86" s="181"/>
      <c r="K86" s="129">
        <v>39.0</v>
      </c>
      <c r="L86" s="156" t="str">
        <f t="shared" si="12"/>
        <v> Kulkarni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Schoenfeld</v>
      </c>
      <c r="D87" s="178"/>
      <c r="E87" s="181"/>
      <c r="K87" s="129">
        <v>39.0</v>
      </c>
      <c r="L87" s="156" t="str">
        <f t="shared" si="12"/>
        <v> Byrne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Ravulapati</v>
      </c>
      <c r="D88" s="178"/>
      <c r="E88" s="181"/>
      <c r="K88" s="129">
        <v>40.0</v>
      </c>
      <c r="L88" s="156" t="str">
        <f t="shared" si="12"/>
        <v> Kulkarni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Schoenfeld</v>
      </c>
      <c r="D89" s="178"/>
      <c r="E89" s="181"/>
      <c r="K89" s="129">
        <v>40.0</v>
      </c>
      <c r="L89" s="156" t="str">
        <f t="shared" si="12"/>
        <v> Byrne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130</v>
      </c>
      <c r="D3" s="189">
        <f t="shared" ref="D3:J3" si="1">SUMPRODUCT(D10:D90,MOD(ROW(D10:D90),2)=0)</f>
        <v>26</v>
      </c>
      <c r="E3" s="189">
        <f t="shared" si="1"/>
        <v>3</v>
      </c>
      <c r="F3" s="189">
        <f t="shared" si="1"/>
        <v>0</v>
      </c>
      <c r="G3" s="189">
        <f t="shared" si="1"/>
        <v>2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132</v>
      </c>
      <c r="M3" s="189">
        <f t="shared" ref="M3:S3" si="2">SUMPRODUCT(M10:M90,MOD(ROW(M10:M90),2)=0)</f>
        <v>23</v>
      </c>
      <c r="N3" s="189">
        <f t="shared" si="2"/>
        <v>4</v>
      </c>
      <c r="O3" s="189">
        <f t="shared" si="2"/>
        <v>0</v>
      </c>
      <c r="P3" s="189">
        <f t="shared" si="2"/>
        <v>2</v>
      </c>
      <c r="Q3" s="189">
        <f t="shared" si="2"/>
        <v>1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129</v>
      </c>
      <c r="D4" s="191">
        <f t="shared" ref="D4:J4" si="3">SUMPRODUCT(D10:D90,MOD(ROW(D10:D90),2))</f>
        <v>23</v>
      </c>
      <c r="E4" s="191">
        <f t="shared" si="3"/>
        <v>6</v>
      </c>
      <c r="F4" s="191">
        <f t="shared" si="3"/>
        <v>0</v>
      </c>
      <c r="G4" s="191">
        <f t="shared" si="3"/>
        <v>2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131</v>
      </c>
      <c r="M4" s="191">
        <f t="shared" ref="M4:S4" si="4">SUMPRODUCT(M10:M90,MOD(ROW(M10:M90),2))</f>
        <v>23</v>
      </c>
      <c r="N4" s="191">
        <f t="shared" si="4"/>
        <v>3</v>
      </c>
      <c r="O4" s="191">
        <f t="shared" si="4"/>
        <v>1</v>
      </c>
      <c r="P4" s="191">
        <f t="shared" si="4"/>
        <v>1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Mullen %</v>
      </c>
      <c r="D5" s="137">
        <f t="shared" ref="D5:D6" si="6">IFERROR((E3/(E3+D3)),0)</f>
        <v>0.1034482759</v>
      </c>
      <c r="K5" s="135"/>
      <c r="L5" s="136" t="str">
        <f t="shared" ref="L5:L6" si="7">IFERROR((L10 &amp;" %"), "")</f>
        <v> Curtis %</v>
      </c>
      <c r="M5" s="137">
        <f t="shared" ref="M5:M6" si="8">IFERROR((N3/(N3+M3)),0)</f>
        <v>0.1481481481</v>
      </c>
      <c r="S5" s="132"/>
      <c r="T5" s="132"/>
      <c r="U5" s="7"/>
    </row>
    <row r="6">
      <c r="A6" s="14"/>
      <c r="B6" s="138"/>
      <c r="C6" s="139" t="str">
        <f t="shared" si="5"/>
        <v> Bashour %</v>
      </c>
      <c r="D6" s="140">
        <f t="shared" si="6"/>
        <v>0.2068965517</v>
      </c>
      <c r="E6" s="141"/>
      <c r="F6" s="141"/>
      <c r="G6" s="141"/>
      <c r="H6" s="141"/>
      <c r="I6" s="141"/>
      <c r="J6" s="141"/>
      <c r="K6" s="138"/>
      <c r="L6" s="139" t="str">
        <f t="shared" si="7"/>
        <v> Ronilo %</v>
      </c>
      <c r="M6" s="142">
        <f t="shared" si="8"/>
        <v>0.1153846154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Mullen")</f>
        <v> Mullen</v>
      </c>
      <c r="D10" s="200">
        <v>1.0</v>
      </c>
      <c r="E10" s="205"/>
      <c r="F10" s="199"/>
      <c r="G10" s="199"/>
      <c r="H10" s="177"/>
      <c r="I10" s="177"/>
      <c r="K10" s="129">
        <v>1.0</v>
      </c>
      <c r="L10" s="136" t="str">
        <f>IFERROR(__xludf.DUMMYFUNCTION("REGEXEXTRACT(L3, ""( .*)+"")")," Curtis")</f>
        <v> Curtis</v>
      </c>
      <c r="M10" s="200">
        <v>1.0</v>
      </c>
      <c r="N10" s="201"/>
      <c r="O10" s="177"/>
      <c r="P10" s="199"/>
      <c r="Q10" s="177"/>
      <c r="R10" s="177"/>
      <c r="T10" s="132"/>
      <c r="U10" s="7"/>
    </row>
    <row r="11">
      <c r="A11" s="8"/>
      <c r="B11" s="129">
        <v>1.0</v>
      </c>
      <c r="C11" s="136" t="str">
        <f>IFERROR(__xludf.DUMMYFUNCTION("REGEXEXTRACT(C4, ""( .*)+"")")," Bashour")</f>
        <v> Bashour</v>
      </c>
      <c r="D11" s="202">
        <v>1.0</v>
      </c>
      <c r="E11" s="203"/>
      <c r="F11" s="177"/>
      <c r="G11" s="177"/>
      <c r="H11" s="177"/>
      <c r="I11" s="177"/>
      <c r="K11" s="129">
        <v>1.0</v>
      </c>
      <c r="L11" s="136" t="str">
        <f>IFERROR(__xludf.DUMMYFUNCTION("REGEXEXTRACT(L4, ""( .*)+"")")," Ronilo")</f>
        <v> Ronilo</v>
      </c>
      <c r="M11" s="202">
        <v>1.0</v>
      </c>
      <c r="N11" s="203"/>
      <c r="O11" s="127">
        <v>1.0</v>
      </c>
      <c r="P11" s="177"/>
      <c r="Q11" s="177"/>
      <c r="R11" s="177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Mullen</v>
      </c>
      <c r="D12" s="202">
        <v>1.0</v>
      </c>
      <c r="E12" s="203"/>
      <c r="F12" s="177"/>
      <c r="G12" s="177"/>
      <c r="H12" s="177"/>
      <c r="I12" s="177"/>
      <c r="K12" s="129">
        <f t="shared" ref="K12:K69" si="11">K10+1</f>
        <v>2</v>
      </c>
      <c r="L12" s="156" t="str">
        <f t="shared" ref="L12:L89" si="12">L10</f>
        <v> Curtis</v>
      </c>
      <c r="M12" s="200">
        <v>1.0</v>
      </c>
      <c r="N12" s="201"/>
      <c r="O12" s="177"/>
      <c r="P12" s="177"/>
      <c r="Q12" s="127">
        <v>1.0</v>
      </c>
      <c r="R12" s="177"/>
      <c r="T12" s="132"/>
      <c r="U12" s="7"/>
    </row>
    <row r="13">
      <c r="A13" s="14"/>
      <c r="B13" s="135">
        <f t="shared" si="9"/>
        <v>2</v>
      </c>
      <c r="C13" s="156" t="str">
        <f t="shared" si="10"/>
        <v> Bashour</v>
      </c>
      <c r="D13" s="197"/>
      <c r="E13" s="198">
        <v>1.0</v>
      </c>
      <c r="F13" s="177"/>
      <c r="G13" s="191"/>
      <c r="H13" s="177"/>
      <c r="I13" s="177"/>
      <c r="K13" s="135">
        <f t="shared" si="11"/>
        <v>2</v>
      </c>
      <c r="L13" s="156" t="str">
        <f t="shared" si="12"/>
        <v> Ronilo</v>
      </c>
      <c r="M13" s="208"/>
      <c r="N13" s="207">
        <v>1.0</v>
      </c>
      <c r="O13" s="177"/>
      <c r="P13" s="177"/>
      <c r="Q13" s="177"/>
      <c r="R13" s="177"/>
      <c r="T13" s="132"/>
      <c r="U13" s="7"/>
    </row>
    <row r="14">
      <c r="A14" s="8"/>
      <c r="B14" s="129">
        <f t="shared" si="9"/>
        <v>3</v>
      </c>
      <c r="C14" s="156" t="str">
        <f t="shared" si="10"/>
        <v> Mullen</v>
      </c>
      <c r="D14" s="202">
        <v>1.0</v>
      </c>
      <c r="E14" s="203"/>
      <c r="F14" s="177"/>
      <c r="G14" s="177"/>
      <c r="H14" s="177"/>
      <c r="I14" s="177"/>
      <c r="K14" s="129">
        <f t="shared" si="11"/>
        <v>3</v>
      </c>
      <c r="L14" s="156" t="str">
        <f t="shared" si="12"/>
        <v> Curtis</v>
      </c>
      <c r="M14" s="202">
        <v>1.0</v>
      </c>
      <c r="N14" s="188"/>
      <c r="O14" s="177"/>
      <c r="P14" s="177"/>
      <c r="Q14" s="177"/>
      <c r="R14" s="177"/>
      <c r="T14" s="132"/>
      <c r="U14" s="7"/>
    </row>
    <row r="15">
      <c r="A15" s="14"/>
      <c r="B15" s="135">
        <f t="shared" si="9"/>
        <v>3</v>
      </c>
      <c r="C15" s="156" t="str">
        <f t="shared" si="10"/>
        <v> Bashour</v>
      </c>
      <c r="D15" s="200">
        <v>1.0</v>
      </c>
      <c r="E15" s="201"/>
      <c r="F15" s="177"/>
      <c r="G15" s="177"/>
      <c r="H15" s="177"/>
      <c r="I15" s="177"/>
      <c r="K15" s="135">
        <f t="shared" si="11"/>
        <v>3</v>
      </c>
      <c r="L15" s="156" t="str">
        <f t="shared" si="12"/>
        <v> Ronilo</v>
      </c>
      <c r="M15" s="200">
        <v>1.0</v>
      </c>
      <c r="N15" s="205"/>
      <c r="O15" s="177"/>
      <c r="P15" s="177"/>
      <c r="Q15" s="177"/>
      <c r="R15" s="177"/>
      <c r="T15" s="132"/>
      <c r="U15" s="7"/>
    </row>
    <row r="16">
      <c r="A16" s="8"/>
      <c r="B16" s="129">
        <f t="shared" si="9"/>
        <v>4</v>
      </c>
      <c r="C16" s="156" t="str">
        <f t="shared" si="10"/>
        <v> Mullen</v>
      </c>
      <c r="D16" s="200">
        <v>1.0</v>
      </c>
      <c r="E16" s="205"/>
      <c r="F16" s="177"/>
      <c r="G16" s="177"/>
      <c r="H16" s="177"/>
      <c r="I16" s="177"/>
      <c r="K16" s="129">
        <f t="shared" si="11"/>
        <v>4</v>
      </c>
      <c r="L16" s="156" t="str">
        <f t="shared" si="12"/>
        <v> Curtis</v>
      </c>
      <c r="M16" s="200">
        <v>1.0</v>
      </c>
      <c r="N16" s="205"/>
      <c r="O16" s="177"/>
      <c r="P16" s="127">
        <v>1.0</v>
      </c>
      <c r="Q16" s="177"/>
      <c r="R16" s="177"/>
      <c r="T16" s="132"/>
      <c r="U16" s="7"/>
    </row>
    <row r="17">
      <c r="A17" s="14"/>
      <c r="B17" s="135">
        <f t="shared" si="9"/>
        <v>4</v>
      </c>
      <c r="C17" s="156" t="str">
        <f t="shared" si="10"/>
        <v> Bashour</v>
      </c>
      <c r="D17" s="200">
        <v>1.0</v>
      </c>
      <c r="E17" s="201"/>
      <c r="F17" s="177"/>
      <c r="G17" s="177"/>
      <c r="H17" s="177"/>
      <c r="I17" s="177"/>
      <c r="K17" s="135">
        <f t="shared" si="11"/>
        <v>4</v>
      </c>
      <c r="L17" s="156" t="str">
        <f t="shared" si="12"/>
        <v> Ronilo</v>
      </c>
      <c r="M17" s="202">
        <v>1.0</v>
      </c>
      <c r="N17" s="203"/>
      <c r="O17" s="177"/>
      <c r="P17" s="177"/>
      <c r="Q17" s="177"/>
      <c r="R17" s="177"/>
      <c r="T17" s="132"/>
      <c r="U17" s="7"/>
    </row>
    <row r="18">
      <c r="A18" s="8"/>
      <c r="B18" s="129">
        <f t="shared" si="9"/>
        <v>5</v>
      </c>
      <c r="C18" s="156" t="str">
        <f t="shared" si="10"/>
        <v> Mullen</v>
      </c>
      <c r="D18" s="200">
        <v>1.0</v>
      </c>
      <c r="E18" s="201"/>
      <c r="F18" s="177"/>
      <c r="G18" s="191"/>
      <c r="H18" s="177"/>
      <c r="I18" s="177"/>
      <c r="K18" s="129">
        <f t="shared" si="11"/>
        <v>5</v>
      </c>
      <c r="L18" s="156" t="str">
        <f t="shared" si="12"/>
        <v> Curtis</v>
      </c>
      <c r="M18" s="200">
        <v>1.0</v>
      </c>
      <c r="N18" s="205"/>
      <c r="O18" s="177"/>
      <c r="P18" s="177"/>
      <c r="Q18" s="177"/>
      <c r="R18" s="177"/>
      <c r="T18" s="132"/>
      <c r="U18" s="7"/>
    </row>
    <row r="19">
      <c r="A19" s="14"/>
      <c r="B19" s="135">
        <f t="shared" si="9"/>
        <v>5</v>
      </c>
      <c r="C19" s="156" t="str">
        <f t="shared" si="10"/>
        <v> Bashour</v>
      </c>
      <c r="D19" s="197"/>
      <c r="E19" s="198">
        <v>1.0</v>
      </c>
      <c r="F19" s="177"/>
      <c r="G19" s="177"/>
      <c r="H19" s="177"/>
      <c r="I19" s="177"/>
      <c r="K19" s="135">
        <f t="shared" si="11"/>
        <v>5</v>
      </c>
      <c r="L19" s="156" t="str">
        <f t="shared" si="12"/>
        <v> Ronilo</v>
      </c>
      <c r="M19" s="206"/>
      <c r="N19" s="207">
        <v>1.0</v>
      </c>
      <c r="O19" s="177"/>
      <c r="P19" s="177"/>
      <c r="Q19" s="177"/>
      <c r="R19" s="177"/>
      <c r="T19" s="132"/>
      <c r="U19" s="7"/>
    </row>
    <row r="20">
      <c r="A20" s="8"/>
      <c r="B20" s="129">
        <f t="shared" si="9"/>
        <v>6</v>
      </c>
      <c r="C20" s="156" t="str">
        <f t="shared" si="10"/>
        <v> Mullen</v>
      </c>
      <c r="D20" s="200">
        <v>1.0</v>
      </c>
      <c r="E20" s="201"/>
      <c r="F20" s="177"/>
      <c r="G20" s="177"/>
      <c r="H20" s="177"/>
      <c r="I20" s="177"/>
      <c r="K20" s="129">
        <f t="shared" si="11"/>
        <v>6</v>
      </c>
      <c r="L20" s="156" t="str">
        <f t="shared" si="12"/>
        <v> Curtis</v>
      </c>
      <c r="M20" s="200">
        <v>1.0</v>
      </c>
      <c r="N20" s="205"/>
      <c r="O20" s="177"/>
      <c r="P20" s="177"/>
      <c r="Q20" s="177"/>
      <c r="R20" s="177"/>
      <c r="T20" s="132"/>
      <c r="U20" s="7"/>
    </row>
    <row r="21">
      <c r="A21" s="14"/>
      <c r="B21" s="135">
        <f t="shared" si="9"/>
        <v>6</v>
      </c>
      <c r="C21" s="156" t="str">
        <f t="shared" si="10"/>
        <v> Bashour</v>
      </c>
      <c r="D21" s="200">
        <v>1.0</v>
      </c>
      <c r="E21" s="205"/>
      <c r="F21" s="177"/>
      <c r="G21" s="177"/>
      <c r="H21" s="177"/>
      <c r="I21" s="177"/>
      <c r="K21" s="135">
        <f t="shared" si="11"/>
        <v>6</v>
      </c>
      <c r="L21" s="156" t="str">
        <f t="shared" si="12"/>
        <v> Ronilo</v>
      </c>
      <c r="M21" s="197"/>
      <c r="N21" s="198">
        <v>1.0</v>
      </c>
      <c r="O21" s="177"/>
      <c r="P21" s="177"/>
      <c r="Q21" s="177"/>
      <c r="R21" s="177"/>
      <c r="T21" s="132"/>
      <c r="U21" s="7"/>
    </row>
    <row r="22">
      <c r="A22" s="8"/>
      <c r="B22" s="129">
        <f t="shared" si="9"/>
        <v>7</v>
      </c>
      <c r="C22" s="156" t="str">
        <f t="shared" si="10"/>
        <v> Mullen</v>
      </c>
      <c r="D22" s="202">
        <v>1.0</v>
      </c>
      <c r="E22" s="188"/>
      <c r="F22" s="177"/>
      <c r="G22" s="177"/>
      <c r="H22" s="177"/>
      <c r="I22" s="177"/>
      <c r="K22" s="129">
        <f t="shared" si="11"/>
        <v>7</v>
      </c>
      <c r="L22" s="156" t="str">
        <f t="shared" si="12"/>
        <v> Curtis</v>
      </c>
      <c r="M22" s="200">
        <v>1.0</v>
      </c>
      <c r="N22" s="205"/>
      <c r="O22" s="177"/>
      <c r="P22" s="177"/>
      <c r="Q22" s="177"/>
      <c r="R22" s="177"/>
      <c r="T22" s="132"/>
      <c r="U22" s="7"/>
    </row>
    <row r="23">
      <c r="A23" s="14"/>
      <c r="B23" s="135">
        <f t="shared" si="9"/>
        <v>7</v>
      </c>
      <c r="C23" s="156" t="str">
        <f t="shared" si="10"/>
        <v> Bashour</v>
      </c>
      <c r="D23" s="200">
        <v>1.0</v>
      </c>
      <c r="E23" s="205"/>
      <c r="F23" s="177"/>
      <c r="G23" s="177"/>
      <c r="H23" s="177"/>
      <c r="I23" s="177"/>
      <c r="K23" s="135">
        <f t="shared" si="11"/>
        <v>7</v>
      </c>
      <c r="L23" s="156" t="str">
        <f t="shared" si="12"/>
        <v> Ronilo</v>
      </c>
      <c r="M23" s="200">
        <v>1.0</v>
      </c>
      <c r="N23" s="205"/>
      <c r="O23" s="177"/>
      <c r="P23" s="177"/>
      <c r="Q23" s="177"/>
      <c r="R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 Mullen</v>
      </c>
      <c r="D24" s="197"/>
      <c r="E24" s="198">
        <v>1.0</v>
      </c>
      <c r="F24" s="177"/>
      <c r="G24" s="177"/>
      <c r="H24" s="177"/>
      <c r="I24" s="177"/>
      <c r="K24" s="129">
        <f t="shared" si="11"/>
        <v>8</v>
      </c>
      <c r="L24" s="156" t="str">
        <f t="shared" si="12"/>
        <v> Curtis</v>
      </c>
      <c r="M24" s="202">
        <v>1.0</v>
      </c>
      <c r="N24" s="188"/>
      <c r="O24" s="177"/>
      <c r="P24" s="177"/>
      <c r="Q24" s="177"/>
      <c r="R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 Bashour</v>
      </c>
      <c r="D25" s="208"/>
      <c r="E25" s="207">
        <v>1.0</v>
      </c>
      <c r="F25" s="177"/>
      <c r="G25" s="177"/>
      <c r="H25" s="177"/>
      <c r="I25" s="177"/>
      <c r="K25" s="135">
        <f t="shared" si="11"/>
        <v>8</v>
      </c>
      <c r="L25" s="156" t="str">
        <f t="shared" si="12"/>
        <v> Ronilo</v>
      </c>
      <c r="M25" s="202">
        <v>1.0</v>
      </c>
      <c r="N25" s="203"/>
      <c r="O25" s="177"/>
      <c r="P25" s="177"/>
      <c r="Q25" s="177"/>
      <c r="R25" s="177"/>
      <c r="T25" s="132"/>
      <c r="U25" s="7"/>
    </row>
    <row r="26">
      <c r="A26" s="8"/>
      <c r="B26" s="129">
        <f t="shared" si="9"/>
        <v>9</v>
      </c>
      <c r="C26" s="156" t="str">
        <f t="shared" si="10"/>
        <v> Mullen</v>
      </c>
      <c r="D26" s="202">
        <v>1.0</v>
      </c>
      <c r="E26" s="188"/>
      <c r="F26" s="177"/>
      <c r="G26" s="177"/>
      <c r="H26" s="177"/>
      <c r="I26" s="177"/>
      <c r="K26" s="129">
        <f t="shared" si="11"/>
        <v>9</v>
      </c>
      <c r="L26" s="156" t="str">
        <f t="shared" si="12"/>
        <v> Curtis</v>
      </c>
      <c r="M26" s="200">
        <v>1.0</v>
      </c>
      <c r="N26" s="205"/>
      <c r="O26" s="177"/>
      <c r="P26" s="177"/>
      <c r="Q26" s="177"/>
      <c r="R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 Bashour</v>
      </c>
      <c r="D27" s="202">
        <v>1.0</v>
      </c>
      <c r="E27" s="188"/>
      <c r="F27" s="177"/>
      <c r="G27" s="177"/>
      <c r="H27" s="177"/>
      <c r="I27" s="177"/>
      <c r="K27" s="135">
        <f t="shared" si="11"/>
        <v>9</v>
      </c>
      <c r="L27" s="156" t="str">
        <f t="shared" si="12"/>
        <v> Ronilo</v>
      </c>
      <c r="M27" s="200">
        <v>1.0</v>
      </c>
      <c r="N27" s="205"/>
      <c r="O27" s="177"/>
      <c r="P27" s="177"/>
      <c r="Q27" s="177"/>
      <c r="R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 Mullen</v>
      </c>
      <c r="D28" s="200">
        <v>1.0</v>
      </c>
      <c r="E28" s="205"/>
      <c r="F28" s="177"/>
      <c r="G28" s="191"/>
      <c r="H28" s="177"/>
      <c r="I28" s="177"/>
      <c r="K28" s="129">
        <f t="shared" si="11"/>
        <v>10</v>
      </c>
      <c r="L28" s="156" t="str">
        <f t="shared" si="12"/>
        <v> Curtis</v>
      </c>
      <c r="M28" s="200">
        <v>1.0</v>
      </c>
      <c r="N28" s="205"/>
      <c r="O28" s="177"/>
      <c r="P28" s="177"/>
      <c r="Q28" s="177"/>
      <c r="R28" s="177"/>
      <c r="T28" s="132"/>
      <c r="U28" s="7"/>
    </row>
    <row r="29">
      <c r="A29" s="14"/>
      <c r="B29" s="135">
        <f t="shared" si="9"/>
        <v>10</v>
      </c>
      <c r="C29" s="156" t="str">
        <f t="shared" si="10"/>
        <v> Bashour</v>
      </c>
      <c r="D29" s="200">
        <v>1.0</v>
      </c>
      <c r="E29" s="205"/>
      <c r="F29" s="177"/>
      <c r="G29" s="177"/>
      <c r="H29" s="177"/>
      <c r="I29" s="177"/>
      <c r="K29" s="135">
        <f t="shared" si="11"/>
        <v>10</v>
      </c>
      <c r="L29" s="156" t="str">
        <f t="shared" si="12"/>
        <v> Ronilo</v>
      </c>
      <c r="M29" s="200">
        <v>1.0</v>
      </c>
      <c r="N29" s="205"/>
      <c r="O29" s="177"/>
      <c r="P29" s="177"/>
      <c r="Q29" s="177"/>
      <c r="R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 Mullen</v>
      </c>
      <c r="D30" s="200">
        <v>1.0</v>
      </c>
      <c r="E30" s="205"/>
      <c r="F30" s="177"/>
      <c r="G30" s="177"/>
      <c r="H30" s="177"/>
      <c r="I30" s="177"/>
      <c r="K30" s="129">
        <f t="shared" si="11"/>
        <v>11</v>
      </c>
      <c r="L30" s="156" t="str">
        <f t="shared" si="12"/>
        <v> Curtis</v>
      </c>
      <c r="M30" s="200">
        <v>1.0</v>
      </c>
      <c r="N30" s="205"/>
      <c r="O30" s="177"/>
      <c r="P30" s="127">
        <v>1.0</v>
      </c>
      <c r="Q30" s="177"/>
      <c r="R30" s="177"/>
      <c r="T30" s="132"/>
      <c r="U30" s="7"/>
    </row>
    <row r="31">
      <c r="A31" s="14"/>
      <c r="B31" s="135">
        <f t="shared" si="9"/>
        <v>11</v>
      </c>
      <c r="C31" s="156" t="str">
        <f t="shared" si="10"/>
        <v> Bashour</v>
      </c>
      <c r="D31" s="200">
        <v>1.0</v>
      </c>
      <c r="E31" s="205"/>
      <c r="F31" s="177"/>
      <c r="G31" s="177"/>
      <c r="H31" s="177"/>
      <c r="I31" s="177"/>
      <c r="K31" s="135">
        <f t="shared" si="11"/>
        <v>11</v>
      </c>
      <c r="L31" s="156" t="str">
        <f t="shared" si="12"/>
        <v> Ronilo</v>
      </c>
      <c r="M31" s="202">
        <v>1.0</v>
      </c>
      <c r="N31" s="203"/>
      <c r="O31" s="177"/>
      <c r="P31" s="177"/>
      <c r="Q31" s="177"/>
      <c r="R31" s="177"/>
      <c r="T31" s="132"/>
      <c r="U31" s="7"/>
    </row>
    <row r="32">
      <c r="A32" s="8"/>
      <c r="B32" s="129">
        <f t="shared" si="9"/>
        <v>12</v>
      </c>
      <c r="C32" s="156" t="str">
        <f t="shared" si="10"/>
        <v> Mullen</v>
      </c>
      <c r="D32" s="200">
        <v>1.0</v>
      </c>
      <c r="E32" s="205"/>
      <c r="F32" s="177"/>
      <c r="G32" s="177"/>
      <c r="H32" s="177"/>
      <c r="I32" s="177"/>
      <c r="K32" s="129">
        <f t="shared" si="11"/>
        <v>12</v>
      </c>
      <c r="L32" s="156" t="str">
        <f t="shared" si="12"/>
        <v> Curtis</v>
      </c>
      <c r="M32" s="200">
        <v>1.0</v>
      </c>
      <c r="N32" s="205"/>
      <c r="O32" s="177"/>
      <c r="P32" s="177"/>
      <c r="Q32" s="177"/>
      <c r="R32" s="177"/>
      <c r="T32" s="132"/>
      <c r="U32" s="7"/>
    </row>
    <row r="33">
      <c r="A33" s="14"/>
      <c r="B33" s="135">
        <f t="shared" si="9"/>
        <v>12</v>
      </c>
      <c r="C33" s="156" t="str">
        <f t="shared" si="10"/>
        <v> Bashour</v>
      </c>
      <c r="D33" s="200">
        <v>1.0</v>
      </c>
      <c r="E33" s="205"/>
      <c r="F33" s="177"/>
      <c r="G33" s="177"/>
      <c r="H33" s="177"/>
      <c r="I33" s="177"/>
      <c r="K33" s="135">
        <f t="shared" si="11"/>
        <v>12</v>
      </c>
      <c r="L33" s="156" t="str">
        <f t="shared" si="12"/>
        <v> Ronilo</v>
      </c>
      <c r="M33" s="200">
        <v>1.0</v>
      </c>
      <c r="N33" s="201"/>
      <c r="O33" s="177"/>
      <c r="P33" s="127">
        <v>1.0</v>
      </c>
      <c r="Q33" s="177"/>
      <c r="R33" s="177"/>
      <c r="T33" s="132"/>
      <c r="U33" s="7"/>
    </row>
    <row r="34">
      <c r="A34" s="8"/>
      <c r="B34" s="129">
        <f t="shared" si="9"/>
        <v>13</v>
      </c>
      <c r="C34" s="156" t="str">
        <f t="shared" si="10"/>
        <v> Mullen</v>
      </c>
      <c r="D34" s="200">
        <v>1.0</v>
      </c>
      <c r="E34" s="205"/>
      <c r="F34" s="177"/>
      <c r="G34" s="177"/>
      <c r="H34" s="177"/>
      <c r="I34" s="177"/>
      <c r="K34" s="129">
        <f t="shared" si="11"/>
        <v>13</v>
      </c>
      <c r="L34" s="156" t="str">
        <f t="shared" si="12"/>
        <v> Curtis</v>
      </c>
      <c r="M34" s="202">
        <v>1.0</v>
      </c>
      <c r="N34" s="188"/>
      <c r="O34" s="177"/>
      <c r="P34" s="177"/>
      <c r="Q34" s="177"/>
      <c r="R34" s="177"/>
      <c r="T34" s="132"/>
      <c r="U34" s="7"/>
    </row>
    <row r="35">
      <c r="A35" s="14"/>
      <c r="B35" s="135">
        <f t="shared" si="9"/>
        <v>13</v>
      </c>
      <c r="C35" s="156" t="str">
        <f t="shared" si="10"/>
        <v> Bashour</v>
      </c>
      <c r="D35" s="202">
        <v>1.0</v>
      </c>
      <c r="E35" s="188"/>
      <c r="F35" s="177"/>
      <c r="G35" s="127">
        <v>1.0</v>
      </c>
      <c r="H35" s="177"/>
      <c r="I35" s="177"/>
      <c r="K35" s="135">
        <f t="shared" si="11"/>
        <v>13</v>
      </c>
      <c r="L35" s="156" t="str">
        <f t="shared" si="12"/>
        <v> Ronilo</v>
      </c>
      <c r="M35" s="200">
        <v>1.0</v>
      </c>
      <c r="N35" s="205"/>
      <c r="O35" s="177"/>
      <c r="P35" s="177"/>
      <c r="Q35" s="177"/>
      <c r="R35" s="177"/>
      <c r="T35" s="132"/>
      <c r="U35" s="7"/>
    </row>
    <row r="36">
      <c r="A36" s="8"/>
      <c r="B36" s="129">
        <f t="shared" si="9"/>
        <v>14</v>
      </c>
      <c r="C36" s="156" t="str">
        <f t="shared" si="10"/>
        <v> Mullen</v>
      </c>
      <c r="D36" s="208"/>
      <c r="E36" s="198">
        <v>1.0</v>
      </c>
      <c r="F36" s="177"/>
      <c r="G36" s="177"/>
      <c r="H36" s="177"/>
      <c r="I36" s="177"/>
      <c r="K36" s="129">
        <f t="shared" si="11"/>
        <v>14</v>
      </c>
      <c r="L36" s="156" t="str">
        <f t="shared" si="12"/>
        <v> Curtis</v>
      </c>
      <c r="M36" s="208"/>
      <c r="N36" s="198">
        <v>1.0</v>
      </c>
      <c r="O36" s="177"/>
      <c r="P36" s="177"/>
      <c r="Q36" s="177"/>
      <c r="R36" s="177"/>
      <c r="T36" s="132"/>
      <c r="U36" s="7"/>
    </row>
    <row r="37">
      <c r="A37" s="14"/>
      <c r="B37" s="135">
        <f t="shared" si="9"/>
        <v>14</v>
      </c>
      <c r="C37" s="156" t="str">
        <f t="shared" si="10"/>
        <v> Bashour</v>
      </c>
      <c r="D37" s="202">
        <v>1.0</v>
      </c>
      <c r="E37" s="188"/>
      <c r="F37" s="177"/>
      <c r="G37" s="177"/>
      <c r="H37" s="177"/>
      <c r="I37" s="177"/>
      <c r="K37" s="135">
        <f t="shared" si="11"/>
        <v>14</v>
      </c>
      <c r="L37" s="156" t="str">
        <f t="shared" si="12"/>
        <v> Ronilo</v>
      </c>
      <c r="M37" s="202">
        <v>1.0</v>
      </c>
      <c r="N37" s="188"/>
      <c r="O37" s="177"/>
      <c r="P37" s="177"/>
      <c r="Q37" s="177"/>
      <c r="R37" s="177"/>
      <c r="T37" s="132"/>
      <c r="U37" s="7"/>
    </row>
    <row r="38">
      <c r="A38" s="8"/>
      <c r="B38" s="129">
        <f t="shared" si="9"/>
        <v>15</v>
      </c>
      <c r="C38" s="156" t="str">
        <f t="shared" si="10"/>
        <v> Mullen</v>
      </c>
      <c r="D38" s="202">
        <v>1.0</v>
      </c>
      <c r="E38" s="205"/>
      <c r="F38" s="177"/>
      <c r="G38" s="177"/>
      <c r="H38" s="177"/>
      <c r="I38" s="177"/>
      <c r="K38" s="129">
        <f t="shared" si="11"/>
        <v>15</v>
      </c>
      <c r="L38" s="156" t="str">
        <f t="shared" si="12"/>
        <v> Curtis</v>
      </c>
      <c r="M38" s="208"/>
      <c r="N38" s="198">
        <v>1.0</v>
      </c>
      <c r="O38" s="177"/>
      <c r="P38" s="177"/>
      <c r="Q38" s="177"/>
      <c r="R38" s="177"/>
      <c r="T38" s="132"/>
      <c r="U38" s="7"/>
    </row>
    <row r="39">
      <c r="A39" s="14"/>
      <c r="B39" s="135">
        <f t="shared" si="9"/>
        <v>15</v>
      </c>
      <c r="C39" s="156" t="str">
        <f t="shared" si="10"/>
        <v> Bashour</v>
      </c>
      <c r="D39" s="200">
        <v>1.0</v>
      </c>
      <c r="E39" s="205"/>
      <c r="F39" s="177"/>
      <c r="G39" s="177"/>
      <c r="H39" s="177"/>
      <c r="I39" s="177"/>
      <c r="K39" s="135">
        <f t="shared" si="11"/>
        <v>15</v>
      </c>
      <c r="L39" s="156" t="str">
        <f t="shared" si="12"/>
        <v> Ronilo</v>
      </c>
      <c r="M39" s="202">
        <v>1.0</v>
      </c>
      <c r="N39" s="205"/>
      <c r="O39" s="177"/>
      <c r="P39" s="177"/>
      <c r="Q39" s="177"/>
      <c r="R39" s="177"/>
      <c r="T39" s="132"/>
      <c r="U39" s="7"/>
    </row>
    <row r="40">
      <c r="A40" s="8"/>
      <c r="B40" s="129">
        <f t="shared" si="9"/>
        <v>16</v>
      </c>
      <c r="C40" s="156" t="str">
        <f t="shared" si="10"/>
        <v> Mullen</v>
      </c>
      <c r="D40" s="180">
        <v>1.0</v>
      </c>
      <c r="E40" s="179"/>
      <c r="F40" s="177"/>
      <c r="G40" s="177"/>
      <c r="H40" s="177"/>
      <c r="I40" s="177"/>
      <c r="K40" s="129">
        <f t="shared" si="11"/>
        <v>16</v>
      </c>
      <c r="L40" s="156" t="str">
        <f t="shared" si="12"/>
        <v> Curtis</v>
      </c>
      <c r="M40" s="208"/>
      <c r="N40" s="198">
        <v>1.0</v>
      </c>
      <c r="O40" s="177"/>
      <c r="P40" s="177"/>
      <c r="Q40" s="177"/>
      <c r="R40" s="177"/>
      <c r="T40" s="132"/>
      <c r="U40" s="7"/>
    </row>
    <row r="41">
      <c r="A41" s="14"/>
      <c r="B41" s="135">
        <f t="shared" si="9"/>
        <v>16</v>
      </c>
      <c r="C41" s="156" t="str">
        <f t="shared" si="10"/>
        <v> Bashour</v>
      </c>
      <c r="D41" s="180">
        <v>1.0</v>
      </c>
      <c r="E41" s="181"/>
      <c r="F41" s="177"/>
      <c r="G41" s="177"/>
      <c r="H41" s="177"/>
      <c r="I41" s="177"/>
      <c r="K41" s="135">
        <f t="shared" si="11"/>
        <v>16</v>
      </c>
      <c r="L41" s="156" t="str">
        <f t="shared" si="12"/>
        <v> Ronilo</v>
      </c>
      <c r="M41" s="202">
        <v>1.0</v>
      </c>
      <c r="N41" s="201"/>
      <c r="O41" s="177"/>
      <c r="P41" s="177"/>
      <c r="Q41" s="177"/>
      <c r="R41" s="177"/>
      <c r="T41" s="132"/>
      <c r="U41" s="7"/>
    </row>
    <row r="42">
      <c r="A42" s="8"/>
      <c r="B42" s="129">
        <f t="shared" si="9"/>
        <v>17</v>
      </c>
      <c r="C42" s="156" t="str">
        <f t="shared" si="10"/>
        <v> Mullen</v>
      </c>
      <c r="D42" s="180">
        <v>1.0</v>
      </c>
      <c r="E42" s="181"/>
      <c r="F42" s="177"/>
      <c r="G42" s="177"/>
      <c r="H42" s="177"/>
      <c r="I42" s="177"/>
      <c r="K42" s="129">
        <f t="shared" si="11"/>
        <v>17</v>
      </c>
      <c r="L42" s="156" t="str">
        <f t="shared" si="12"/>
        <v> Curtis</v>
      </c>
      <c r="M42" s="202">
        <v>1.0</v>
      </c>
      <c r="N42" s="205"/>
      <c r="O42" s="177"/>
      <c r="P42" s="177"/>
      <c r="Q42" s="177"/>
      <c r="R42" s="177"/>
      <c r="T42" s="132"/>
      <c r="U42" s="7"/>
    </row>
    <row r="43">
      <c r="A43" s="14"/>
      <c r="B43" s="135">
        <f t="shared" si="9"/>
        <v>17</v>
      </c>
      <c r="C43" s="156" t="str">
        <f t="shared" si="10"/>
        <v> Bashour</v>
      </c>
      <c r="D43" s="180">
        <v>1.0</v>
      </c>
      <c r="E43" s="179"/>
      <c r="F43" s="177"/>
      <c r="G43" s="177"/>
      <c r="H43" s="177"/>
      <c r="I43" s="177"/>
      <c r="K43" s="135">
        <f t="shared" si="11"/>
        <v>17</v>
      </c>
      <c r="L43" s="156" t="str">
        <f t="shared" si="12"/>
        <v> Ronilo</v>
      </c>
      <c r="M43" s="180">
        <v>1.0</v>
      </c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Mullen</v>
      </c>
      <c r="D44" s="180">
        <v>1.0</v>
      </c>
      <c r="E44" s="181"/>
      <c r="F44" s="177"/>
      <c r="G44" s="177"/>
      <c r="H44" s="177"/>
      <c r="I44" s="177"/>
      <c r="K44" s="129">
        <f t="shared" si="11"/>
        <v>18</v>
      </c>
      <c r="L44" s="156" t="str">
        <f t="shared" si="12"/>
        <v> Curtis</v>
      </c>
      <c r="M44" s="180">
        <v>1.0</v>
      </c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Bashour</v>
      </c>
      <c r="D45" s="180">
        <v>1.0</v>
      </c>
      <c r="E45" s="181"/>
      <c r="F45" s="177"/>
      <c r="G45" s="177"/>
      <c r="H45" s="177"/>
      <c r="I45" s="177"/>
      <c r="K45" s="129">
        <f t="shared" si="11"/>
        <v>18</v>
      </c>
      <c r="L45" s="156" t="str">
        <f t="shared" si="12"/>
        <v> Ronilo</v>
      </c>
      <c r="M45" s="180">
        <v>1.0</v>
      </c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Mullen</v>
      </c>
      <c r="D46" s="180"/>
      <c r="E46" s="179">
        <v>1.0</v>
      </c>
      <c r="F46" s="177"/>
      <c r="G46" s="177"/>
      <c r="H46" s="177"/>
      <c r="I46" s="177"/>
      <c r="K46" s="135">
        <f t="shared" si="11"/>
        <v>19</v>
      </c>
      <c r="L46" s="156" t="str">
        <f t="shared" si="12"/>
        <v> Curtis</v>
      </c>
      <c r="M46" s="180">
        <v>1.0</v>
      </c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Bashour</v>
      </c>
      <c r="D47" s="180">
        <v>1.0</v>
      </c>
      <c r="E47" s="181"/>
      <c r="F47" s="177"/>
      <c r="G47" s="177"/>
      <c r="H47" s="177"/>
      <c r="I47" s="177"/>
      <c r="K47" s="129">
        <f t="shared" si="11"/>
        <v>19</v>
      </c>
      <c r="L47" s="156" t="str">
        <f t="shared" si="12"/>
        <v> Ronilo</v>
      </c>
      <c r="M47" s="180">
        <v>1.0</v>
      </c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Mullen</v>
      </c>
      <c r="D48" s="180">
        <v>1.0</v>
      </c>
      <c r="E48" s="181"/>
      <c r="F48" s="177"/>
      <c r="G48" s="177"/>
      <c r="H48" s="177"/>
      <c r="I48" s="177"/>
      <c r="K48" s="135">
        <f t="shared" si="11"/>
        <v>20</v>
      </c>
      <c r="L48" s="156" t="str">
        <f t="shared" si="12"/>
        <v> Curtis</v>
      </c>
      <c r="M48" s="180">
        <v>1.0</v>
      </c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Bashour</v>
      </c>
      <c r="D49" s="180"/>
      <c r="E49" s="179">
        <v>1.0</v>
      </c>
      <c r="F49" s="177"/>
      <c r="G49" s="177"/>
      <c r="H49" s="177"/>
      <c r="I49" s="177"/>
      <c r="K49" s="129">
        <f t="shared" si="11"/>
        <v>20</v>
      </c>
      <c r="L49" s="156" t="str">
        <f t="shared" si="12"/>
        <v> Ronilo</v>
      </c>
      <c r="M49" s="180">
        <v>1.0</v>
      </c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Mullen</v>
      </c>
      <c r="D50" s="180">
        <v>1.0</v>
      </c>
      <c r="E50" s="181"/>
      <c r="F50" s="177"/>
      <c r="G50" s="177"/>
      <c r="H50" s="177"/>
      <c r="I50" s="177"/>
      <c r="K50" s="129">
        <f t="shared" si="11"/>
        <v>21</v>
      </c>
      <c r="L50" s="156" t="str">
        <f t="shared" si="12"/>
        <v> Curtis</v>
      </c>
      <c r="M50" s="180">
        <v>1.0</v>
      </c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Bashour</v>
      </c>
      <c r="D51" s="180">
        <v>1.0</v>
      </c>
      <c r="E51" s="181"/>
      <c r="F51" s="177"/>
      <c r="G51" s="177"/>
      <c r="H51" s="177"/>
      <c r="I51" s="177"/>
      <c r="K51" s="135">
        <f t="shared" si="11"/>
        <v>21</v>
      </c>
      <c r="L51" s="156" t="str">
        <f t="shared" si="12"/>
        <v> Ronilo</v>
      </c>
      <c r="M51" s="180">
        <v>1.0</v>
      </c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Mullen</v>
      </c>
      <c r="D52" s="180">
        <v>1.0</v>
      </c>
      <c r="E52" s="181"/>
      <c r="F52" s="177"/>
      <c r="G52" s="177"/>
      <c r="H52" s="177"/>
      <c r="I52" s="177"/>
      <c r="K52" s="129">
        <f t="shared" si="11"/>
        <v>22</v>
      </c>
      <c r="L52" s="156" t="str">
        <f t="shared" si="12"/>
        <v> Curtis</v>
      </c>
      <c r="M52" s="180">
        <v>1.0</v>
      </c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Bashour</v>
      </c>
      <c r="D53" s="178"/>
      <c r="E53" s="179">
        <v>1.0</v>
      </c>
      <c r="F53" s="177"/>
      <c r="G53" s="177"/>
      <c r="H53" s="177"/>
      <c r="I53" s="177"/>
      <c r="K53" s="135">
        <f t="shared" si="11"/>
        <v>22</v>
      </c>
      <c r="L53" s="156" t="str">
        <f t="shared" si="12"/>
        <v> Ronilo</v>
      </c>
      <c r="M53" s="180">
        <v>1.0</v>
      </c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Mullen</v>
      </c>
      <c r="D54" s="180">
        <v>1.0</v>
      </c>
      <c r="E54" s="181"/>
      <c r="F54" s="177"/>
      <c r="G54" s="127">
        <v>1.0</v>
      </c>
      <c r="H54" s="177"/>
      <c r="I54" s="177"/>
      <c r="K54" s="129">
        <f t="shared" si="11"/>
        <v>23</v>
      </c>
      <c r="L54" s="156" t="str">
        <f t="shared" si="12"/>
        <v> Curtis</v>
      </c>
      <c r="M54" s="180">
        <v>1.0</v>
      </c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Bashour</v>
      </c>
      <c r="D55" s="180">
        <v>1.0</v>
      </c>
      <c r="E55" s="181"/>
      <c r="K55" s="135">
        <f t="shared" si="11"/>
        <v>23</v>
      </c>
      <c r="L55" s="156" t="str">
        <f t="shared" si="12"/>
        <v> Ronilo</v>
      </c>
      <c r="M55" s="180">
        <v>1.0</v>
      </c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Mullen</v>
      </c>
      <c r="D56" s="180">
        <v>1.0</v>
      </c>
      <c r="E56" s="181"/>
      <c r="K56" s="129">
        <f t="shared" si="11"/>
        <v>24</v>
      </c>
      <c r="L56" s="156" t="str">
        <f t="shared" si="12"/>
        <v> Curtis</v>
      </c>
      <c r="M56" s="180">
        <v>1.0</v>
      </c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Bashour</v>
      </c>
      <c r="D57" s="178"/>
      <c r="E57" s="179">
        <v>1.0</v>
      </c>
      <c r="K57" s="129">
        <f t="shared" si="11"/>
        <v>24</v>
      </c>
      <c r="L57" s="156" t="str">
        <f t="shared" si="12"/>
        <v> Ronilo</v>
      </c>
      <c r="M57" s="180">
        <v>1.0</v>
      </c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Mullen</v>
      </c>
      <c r="D58" s="180">
        <v>1.0</v>
      </c>
      <c r="E58" s="181"/>
      <c r="K58" s="135">
        <f t="shared" si="11"/>
        <v>25</v>
      </c>
      <c r="L58" s="156" t="str">
        <f t="shared" si="12"/>
        <v> Curtis</v>
      </c>
      <c r="M58" s="180">
        <v>1.0</v>
      </c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Bashour</v>
      </c>
      <c r="D59" s="180">
        <v>1.0</v>
      </c>
      <c r="E59" s="181"/>
      <c r="K59" s="129">
        <f t="shared" si="11"/>
        <v>25</v>
      </c>
      <c r="L59" s="156" t="str">
        <f t="shared" si="12"/>
        <v> Ronilo</v>
      </c>
      <c r="M59" s="180">
        <v>1.0</v>
      </c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Mullen</v>
      </c>
      <c r="D60" s="180">
        <v>1.0</v>
      </c>
      <c r="E60" s="181"/>
      <c r="K60" s="135">
        <f t="shared" si="11"/>
        <v>26</v>
      </c>
      <c r="L60" s="156" t="str">
        <f t="shared" si="12"/>
        <v> Curtis</v>
      </c>
      <c r="M60" s="180">
        <v>1.0</v>
      </c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Bashour</v>
      </c>
      <c r="D61" s="180">
        <v>1.0</v>
      </c>
      <c r="E61" s="181"/>
      <c r="G61" s="136">
        <v>1.0</v>
      </c>
      <c r="K61" s="129">
        <f t="shared" si="11"/>
        <v>26</v>
      </c>
      <c r="L61" s="156" t="str">
        <f t="shared" si="12"/>
        <v> Ronilo</v>
      </c>
      <c r="M61" s="180">
        <v>1.0</v>
      </c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Mullen</v>
      </c>
      <c r="D62" s="180">
        <v>1.0</v>
      </c>
      <c r="E62" s="181"/>
      <c r="K62" s="135">
        <f t="shared" si="11"/>
        <v>27</v>
      </c>
      <c r="L62" s="156" t="str">
        <f t="shared" si="12"/>
        <v> Curtis</v>
      </c>
      <c r="M62" s="178"/>
      <c r="N62" s="179">
        <v>1.0</v>
      </c>
      <c r="T62" s="132"/>
      <c r="U62" s="7"/>
    </row>
    <row r="63">
      <c r="A63" s="8"/>
      <c r="B63" s="129">
        <f t="shared" si="9"/>
        <v>27</v>
      </c>
      <c r="C63" s="156" t="str">
        <f t="shared" si="10"/>
        <v> Bashour</v>
      </c>
      <c r="D63" s="180">
        <v>1.0</v>
      </c>
      <c r="E63" s="181"/>
      <c r="K63" s="129">
        <f t="shared" si="11"/>
        <v>27</v>
      </c>
      <c r="L63" s="156" t="str">
        <f t="shared" si="12"/>
        <v> Ronilo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Mullen</v>
      </c>
      <c r="D64" s="180">
        <v>1.0</v>
      </c>
      <c r="E64" s="181"/>
      <c r="G64" s="136">
        <v>1.0</v>
      </c>
      <c r="K64" s="135">
        <f t="shared" si="11"/>
        <v>28</v>
      </c>
      <c r="L64" s="156" t="str">
        <f t="shared" si="12"/>
        <v> Curtis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Bashour</v>
      </c>
      <c r="D65" s="180">
        <v>1.0</v>
      </c>
      <c r="E65" s="181"/>
      <c r="K65" s="129">
        <f t="shared" si="11"/>
        <v>28</v>
      </c>
      <c r="L65" s="156" t="str">
        <f t="shared" si="12"/>
        <v> Ronilo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Mullen</v>
      </c>
      <c r="D66" s="180">
        <v>1.0</v>
      </c>
      <c r="E66" s="181"/>
      <c r="K66" s="135">
        <f t="shared" si="11"/>
        <v>29</v>
      </c>
      <c r="L66" s="156" t="str">
        <f t="shared" si="12"/>
        <v> Curtis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Bashour</v>
      </c>
      <c r="D67" s="180">
        <v>1.0</v>
      </c>
      <c r="E67" s="181"/>
      <c r="K67" s="135">
        <f t="shared" si="11"/>
        <v>29</v>
      </c>
      <c r="L67" s="156" t="str">
        <f t="shared" si="12"/>
        <v> Ronilo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Mullen</v>
      </c>
      <c r="D68" s="178"/>
      <c r="E68" s="181"/>
      <c r="K68" s="135">
        <f t="shared" si="11"/>
        <v>30</v>
      </c>
      <c r="L68" s="156" t="str">
        <f t="shared" si="12"/>
        <v> Curtis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Bashour</v>
      </c>
      <c r="D69" s="178"/>
      <c r="E69" s="181"/>
      <c r="K69" s="135">
        <f t="shared" si="11"/>
        <v>30</v>
      </c>
      <c r="L69" s="156" t="str">
        <f t="shared" si="12"/>
        <v> Ronilo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Mullen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Curtis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Bashour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Ronilo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Mullen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Curtis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Bashour</v>
      </c>
      <c r="D73" s="178"/>
      <c r="E73" s="181"/>
      <c r="K73" s="129">
        <v>32.0</v>
      </c>
      <c r="L73" s="156" t="str">
        <f t="shared" si="12"/>
        <v> Ronilo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Mullen</v>
      </c>
      <c r="D74" s="192"/>
      <c r="E74" s="181"/>
      <c r="K74" s="129">
        <v>33.0</v>
      </c>
      <c r="L74" s="156" t="str">
        <f t="shared" si="12"/>
        <v> Curtis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Bashour</v>
      </c>
      <c r="D75" s="178"/>
      <c r="E75" s="181"/>
      <c r="K75" s="129">
        <v>33.0</v>
      </c>
      <c r="L75" s="156" t="str">
        <f t="shared" si="12"/>
        <v> Ronilo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Mullen</v>
      </c>
      <c r="D76" s="178"/>
      <c r="E76" s="181"/>
      <c r="K76" s="129">
        <v>34.0</v>
      </c>
      <c r="L76" s="156" t="str">
        <f t="shared" si="12"/>
        <v> Curtis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Bashour</v>
      </c>
      <c r="D77" s="178"/>
      <c r="E77" s="181"/>
      <c r="K77" s="129">
        <v>34.0</v>
      </c>
      <c r="L77" s="156" t="str">
        <f t="shared" si="12"/>
        <v> Ronilo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Mullen</v>
      </c>
      <c r="D78" s="178"/>
      <c r="E78" s="181"/>
      <c r="K78" s="129">
        <v>35.0</v>
      </c>
      <c r="L78" s="156" t="str">
        <f t="shared" si="12"/>
        <v> Curtis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Bashour</v>
      </c>
      <c r="D79" s="178"/>
      <c r="E79" s="181"/>
      <c r="K79" s="129">
        <v>35.0</v>
      </c>
      <c r="L79" s="156" t="str">
        <f t="shared" si="12"/>
        <v> Ronilo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Mullen</v>
      </c>
      <c r="D80" s="178"/>
      <c r="E80" s="181"/>
      <c r="K80" s="129">
        <v>36.0</v>
      </c>
      <c r="L80" s="156" t="str">
        <f t="shared" si="12"/>
        <v> Curtis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Bashour</v>
      </c>
      <c r="D81" s="178"/>
      <c r="E81" s="181"/>
      <c r="K81" s="129">
        <v>36.0</v>
      </c>
      <c r="L81" s="156" t="str">
        <f t="shared" si="12"/>
        <v> Ronilo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Mullen</v>
      </c>
      <c r="D82" s="178"/>
      <c r="E82" s="181"/>
      <c r="K82" s="129">
        <v>37.0</v>
      </c>
      <c r="L82" s="156" t="str">
        <f t="shared" si="12"/>
        <v> Curtis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Bashour</v>
      </c>
      <c r="D83" s="178"/>
      <c r="E83" s="181"/>
      <c r="K83" s="129">
        <v>37.0</v>
      </c>
      <c r="L83" s="156" t="str">
        <f t="shared" si="12"/>
        <v> Ronilo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Mullen</v>
      </c>
      <c r="D84" s="178"/>
      <c r="E84" s="181"/>
      <c r="K84" s="129">
        <v>38.0</v>
      </c>
      <c r="L84" s="156" t="str">
        <f t="shared" si="12"/>
        <v> Curtis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Bashour</v>
      </c>
      <c r="D85" s="178"/>
      <c r="E85" s="181"/>
      <c r="K85" s="129">
        <v>38.0</v>
      </c>
      <c r="L85" s="156" t="str">
        <f t="shared" si="12"/>
        <v> Ronilo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Mullen</v>
      </c>
      <c r="D86" s="178"/>
      <c r="E86" s="181"/>
      <c r="K86" s="129">
        <v>39.0</v>
      </c>
      <c r="L86" s="156" t="str">
        <f t="shared" si="12"/>
        <v> Curtis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Bashour</v>
      </c>
      <c r="D87" s="178"/>
      <c r="E87" s="181"/>
      <c r="K87" s="129">
        <v>39.0</v>
      </c>
      <c r="L87" s="156" t="str">
        <f t="shared" si="12"/>
        <v> Ronilo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Mullen</v>
      </c>
      <c r="D88" s="178"/>
      <c r="E88" s="181"/>
      <c r="K88" s="129">
        <v>40.0</v>
      </c>
      <c r="L88" s="156" t="str">
        <f t="shared" si="12"/>
        <v> Curtis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Bashour</v>
      </c>
      <c r="D89" s="178"/>
      <c r="E89" s="181"/>
      <c r="K89" s="129">
        <v>40.0</v>
      </c>
      <c r="L89" s="156" t="str">
        <f t="shared" si="12"/>
        <v> Ronilo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5.75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73</v>
      </c>
      <c r="D3" s="189">
        <f t="shared" ref="D3:J3" si="1">SUMPRODUCT(D10:D90,MOD(ROW(D10:D90),2)=0)</f>
        <v>7</v>
      </c>
      <c r="E3" s="189">
        <f t="shared" si="1"/>
        <v>4</v>
      </c>
      <c r="F3" s="189">
        <f t="shared" si="1"/>
        <v>0</v>
      </c>
      <c r="G3" s="189">
        <f t="shared" si="1"/>
        <v>0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119</v>
      </c>
      <c r="M3" s="189">
        <f t="shared" ref="M3:S3" si="2">SUMPRODUCT(M10:M90,MOD(ROW(M10:M90),2)=0)</f>
        <v>7</v>
      </c>
      <c r="N3" s="189">
        <f t="shared" si="2"/>
        <v>3</v>
      </c>
      <c r="O3" s="189">
        <f t="shared" si="2"/>
        <v>1</v>
      </c>
      <c r="P3" s="189">
        <f t="shared" si="2"/>
        <v>0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108</v>
      </c>
      <c r="D4" s="191">
        <f t="shared" ref="D4:J4" si="3">SUMPRODUCT(D10:D90,MOD(ROW(D10:D90),2))</f>
        <v>5</v>
      </c>
      <c r="E4" s="191">
        <f t="shared" si="3"/>
        <v>6</v>
      </c>
      <c r="F4" s="191">
        <f t="shared" si="3"/>
        <v>0</v>
      </c>
      <c r="G4" s="191">
        <f t="shared" si="3"/>
        <v>0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135</v>
      </c>
      <c r="M4" s="191">
        <f t="shared" ref="M4:S4" si="4">SUMPRODUCT(M10:M90,MOD(ROW(M10:M90),2))</f>
        <v>6</v>
      </c>
      <c r="N4" s="191">
        <f t="shared" si="4"/>
        <v>3</v>
      </c>
      <c r="O4" s="191">
        <f t="shared" si="4"/>
        <v>0</v>
      </c>
      <c r="P4" s="191">
        <f t="shared" si="4"/>
        <v>1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Raza %</v>
      </c>
      <c r="D5" s="137">
        <f t="shared" ref="D5:D6" si="6">IFERROR((E3/(E3+D3)),0)</f>
        <v>0.3636363636</v>
      </c>
      <c r="K5" s="135"/>
      <c r="L5" s="136" t="str">
        <f t="shared" ref="L5:L6" si="7">IFERROR((L10 &amp;" %"), "")</f>
        <v> Ogilvie %</v>
      </c>
      <c r="M5" s="137">
        <f t="shared" ref="M5:M6" si="8">IFERROR((N3/(N3+M3)),0)</f>
        <v>0.3</v>
      </c>
      <c r="S5" s="132"/>
      <c r="T5" s="132"/>
      <c r="U5" s="7"/>
    </row>
    <row r="6">
      <c r="A6" s="14"/>
      <c r="B6" s="138"/>
      <c r="C6" s="139" t="str">
        <f t="shared" si="5"/>
        <v> Blumenschein %</v>
      </c>
      <c r="D6" s="140">
        <f t="shared" si="6"/>
        <v>0.5454545455</v>
      </c>
      <c r="E6" s="141"/>
      <c r="F6" s="141"/>
      <c r="G6" s="141"/>
      <c r="H6" s="141"/>
      <c r="I6" s="141"/>
      <c r="J6" s="141"/>
      <c r="K6" s="138"/>
      <c r="L6" s="139" t="str">
        <f t="shared" si="7"/>
        <v> Connors %</v>
      </c>
      <c r="M6" s="142">
        <f t="shared" si="8"/>
        <v>0.3333333333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Raza")</f>
        <v> Raza</v>
      </c>
      <c r="D10" s="200">
        <v>1.0</v>
      </c>
      <c r="E10" s="205"/>
      <c r="F10" s="199"/>
      <c r="G10" s="199"/>
      <c r="H10" s="177"/>
      <c r="I10" s="177"/>
      <c r="K10" s="129">
        <v>1.0</v>
      </c>
      <c r="L10" s="136" t="str">
        <f>IFERROR(__xludf.DUMMYFUNCTION("REGEXEXTRACT(L3, ""( .*)+"")")," Ogilvie")</f>
        <v> Ogilvie</v>
      </c>
      <c r="M10" s="197"/>
      <c r="N10" s="198">
        <v>1.0</v>
      </c>
      <c r="O10" s="177"/>
      <c r="P10" s="199"/>
      <c r="Q10" s="177"/>
      <c r="R10" s="177"/>
      <c r="T10" s="132"/>
      <c r="U10" s="7"/>
    </row>
    <row r="11">
      <c r="A11" s="8"/>
      <c r="B11" s="129">
        <v>1.0</v>
      </c>
      <c r="C11" s="136" t="str">
        <f>IFERROR(__xludf.DUMMYFUNCTION("REGEXEXTRACT(C4, ""( .*)+"")")," Blumenschein")</f>
        <v> Blumenschein</v>
      </c>
      <c r="D11" s="202">
        <v>1.0</v>
      </c>
      <c r="E11" s="203"/>
      <c r="F11" s="177"/>
      <c r="G11" s="177"/>
      <c r="H11" s="177"/>
      <c r="I11" s="177"/>
      <c r="K11" s="129">
        <v>1.0</v>
      </c>
      <c r="L11" s="136" t="str">
        <f>IFERROR(__xludf.DUMMYFUNCTION("REGEXEXTRACT(L4, ""( .*)+"")")," Connors")</f>
        <v> Connors</v>
      </c>
      <c r="M11" s="202">
        <v>1.0</v>
      </c>
      <c r="N11" s="203"/>
      <c r="O11" s="177"/>
      <c r="P11" s="127">
        <v>1.0</v>
      </c>
      <c r="Q11" s="177"/>
      <c r="R11" s="177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Raza</v>
      </c>
      <c r="D12" s="208"/>
      <c r="E12" s="207">
        <v>1.0</v>
      </c>
      <c r="F12" s="177"/>
      <c r="G12" s="177"/>
      <c r="H12" s="177"/>
      <c r="I12" s="177"/>
      <c r="K12" s="129">
        <f t="shared" ref="K12:K69" si="11">K10+1</f>
        <v>2</v>
      </c>
      <c r="L12" s="156" t="str">
        <f t="shared" ref="L12:L89" si="12">L10</f>
        <v> Ogilvie</v>
      </c>
      <c r="M12" s="200">
        <v>1.0</v>
      </c>
      <c r="N12" s="201"/>
      <c r="O12" s="177"/>
      <c r="P12" s="177"/>
      <c r="Q12" s="177"/>
      <c r="R12" s="177"/>
      <c r="T12" s="132"/>
      <c r="U12" s="7"/>
    </row>
    <row r="13">
      <c r="A13" s="14"/>
      <c r="B13" s="135">
        <f t="shared" si="9"/>
        <v>2</v>
      </c>
      <c r="C13" s="156" t="str">
        <f t="shared" si="10"/>
        <v> Blumenschein</v>
      </c>
      <c r="D13" s="197"/>
      <c r="E13" s="198">
        <v>1.0</v>
      </c>
      <c r="F13" s="177"/>
      <c r="G13" s="191"/>
      <c r="H13" s="177"/>
      <c r="I13" s="177"/>
      <c r="K13" s="135">
        <f t="shared" si="11"/>
        <v>2</v>
      </c>
      <c r="L13" s="156" t="str">
        <f t="shared" si="12"/>
        <v> Connors</v>
      </c>
      <c r="M13" s="208"/>
      <c r="N13" s="207">
        <v>1.0</v>
      </c>
      <c r="O13" s="177"/>
      <c r="P13" s="177"/>
      <c r="Q13" s="177"/>
      <c r="R13" s="177"/>
      <c r="T13" s="132"/>
      <c r="U13" s="7"/>
    </row>
    <row r="14">
      <c r="A14" s="8"/>
      <c r="B14" s="129">
        <f t="shared" si="9"/>
        <v>3</v>
      </c>
      <c r="C14" s="156" t="str">
        <f t="shared" si="10"/>
        <v> Raza</v>
      </c>
      <c r="D14" s="202">
        <v>1.0</v>
      </c>
      <c r="E14" s="203"/>
      <c r="F14" s="177"/>
      <c r="G14" s="177"/>
      <c r="H14" s="177"/>
      <c r="I14" s="177"/>
      <c r="K14" s="129">
        <f t="shared" si="11"/>
        <v>3</v>
      </c>
      <c r="L14" s="156" t="str">
        <f t="shared" si="12"/>
        <v> Ogilvie</v>
      </c>
      <c r="M14" s="202">
        <v>1.0</v>
      </c>
      <c r="N14" s="188"/>
      <c r="O14" s="177"/>
      <c r="P14" s="177"/>
      <c r="Q14" s="177"/>
      <c r="R14" s="177"/>
      <c r="T14" s="132"/>
      <c r="U14" s="7"/>
    </row>
    <row r="15">
      <c r="A15" s="14"/>
      <c r="B15" s="135">
        <f t="shared" si="9"/>
        <v>3</v>
      </c>
      <c r="C15" s="156" t="str">
        <f t="shared" si="10"/>
        <v> Blumenschein</v>
      </c>
      <c r="D15" s="197"/>
      <c r="E15" s="198">
        <v>1.0</v>
      </c>
      <c r="F15" s="177"/>
      <c r="G15" s="177"/>
      <c r="H15" s="177"/>
      <c r="I15" s="177"/>
      <c r="K15" s="135">
        <f t="shared" si="11"/>
        <v>3</v>
      </c>
      <c r="L15" s="156" t="str">
        <f t="shared" si="12"/>
        <v> Connors</v>
      </c>
      <c r="M15" s="200">
        <v>1.0</v>
      </c>
      <c r="N15" s="205"/>
      <c r="O15" s="177"/>
      <c r="P15" s="177"/>
      <c r="Q15" s="177"/>
      <c r="R15" s="177"/>
      <c r="T15" s="132"/>
      <c r="U15" s="7"/>
    </row>
    <row r="16">
      <c r="A16" s="8"/>
      <c r="B16" s="129">
        <f t="shared" si="9"/>
        <v>4</v>
      </c>
      <c r="C16" s="156" t="str">
        <f t="shared" si="10"/>
        <v> Raza</v>
      </c>
      <c r="D16" s="200">
        <v>1.0</v>
      </c>
      <c r="E16" s="205"/>
      <c r="F16" s="177"/>
      <c r="G16" s="177"/>
      <c r="H16" s="177"/>
      <c r="I16" s="177"/>
      <c r="K16" s="129">
        <f t="shared" si="11"/>
        <v>4</v>
      </c>
      <c r="L16" s="156" t="str">
        <f t="shared" si="12"/>
        <v> Ogilvie</v>
      </c>
      <c r="M16" s="200">
        <v>1.0</v>
      </c>
      <c r="N16" s="205"/>
      <c r="O16" s="177"/>
      <c r="P16" s="177"/>
      <c r="Q16" s="177"/>
      <c r="R16" s="177"/>
      <c r="T16" s="132"/>
      <c r="U16" s="7"/>
    </row>
    <row r="17">
      <c r="A17" s="14"/>
      <c r="B17" s="135">
        <f t="shared" si="9"/>
        <v>4</v>
      </c>
      <c r="C17" s="156" t="str">
        <f t="shared" si="10"/>
        <v> Blumenschein</v>
      </c>
      <c r="D17" s="200">
        <v>1.0</v>
      </c>
      <c r="E17" s="201"/>
      <c r="F17" s="177"/>
      <c r="G17" s="177"/>
      <c r="H17" s="177"/>
      <c r="I17" s="177"/>
      <c r="K17" s="135">
        <f t="shared" si="11"/>
        <v>4</v>
      </c>
      <c r="L17" s="156" t="str">
        <f t="shared" si="12"/>
        <v> Connors</v>
      </c>
      <c r="M17" s="206"/>
      <c r="N17" s="207">
        <v>1.0</v>
      </c>
      <c r="O17" s="177"/>
      <c r="P17" s="177"/>
      <c r="Q17" s="177"/>
      <c r="R17" s="177"/>
      <c r="T17" s="132"/>
      <c r="U17" s="7"/>
    </row>
    <row r="18">
      <c r="A18" s="8"/>
      <c r="B18" s="129">
        <f t="shared" si="9"/>
        <v>5</v>
      </c>
      <c r="C18" s="156" t="str">
        <f t="shared" si="10"/>
        <v> Raza</v>
      </c>
      <c r="D18" s="197"/>
      <c r="E18" s="198">
        <v>1.0</v>
      </c>
      <c r="F18" s="177"/>
      <c r="G18" s="191"/>
      <c r="H18" s="177"/>
      <c r="I18" s="177"/>
      <c r="K18" s="129">
        <f t="shared" si="11"/>
        <v>5</v>
      </c>
      <c r="L18" s="156" t="str">
        <f t="shared" si="12"/>
        <v> Ogilvie</v>
      </c>
      <c r="M18" s="200">
        <v>1.0</v>
      </c>
      <c r="N18" s="205"/>
      <c r="O18" s="177"/>
      <c r="P18" s="177"/>
      <c r="Q18" s="177"/>
      <c r="R18" s="177"/>
      <c r="T18" s="132"/>
      <c r="U18" s="7"/>
    </row>
    <row r="19">
      <c r="A19" s="14"/>
      <c r="B19" s="135">
        <f t="shared" si="9"/>
        <v>5</v>
      </c>
      <c r="C19" s="156" t="str">
        <f t="shared" si="10"/>
        <v> Blumenschein</v>
      </c>
      <c r="D19" s="197"/>
      <c r="E19" s="198">
        <v>1.0</v>
      </c>
      <c r="F19" s="177"/>
      <c r="G19" s="177"/>
      <c r="H19" s="177"/>
      <c r="I19" s="177"/>
      <c r="K19" s="135">
        <f t="shared" si="11"/>
        <v>5</v>
      </c>
      <c r="L19" s="156" t="str">
        <f t="shared" si="12"/>
        <v> Connors</v>
      </c>
      <c r="M19" s="202">
        <v>1.0</v>
      </c>
      <c r="N19" s="203"/>
      <c r="O19" s="177"/>
      <c r="P19" s="177"/>
      <c r="Q19" s="177"/>
      <c r="R19" s="177"/>
      <c r="T19" s="132"/>
      <c r="U19" s="7"/>
    </row>
    <row r="20">
      <c r="A20" s="8"/>
      <c r="B20" s="129">
        <f t="shared" si="9"/>
        <v>6</v>
      </c>
      <c r="C20" s="156" t="str">
        <f t="shared" si="10"/>
        <v> Raza</v>
      </c>
      <c r="D20" s="200">
        <v>1.0</v>
      </c>
      <c r="E20" s="201"/>
      <c r="F20" s="177"/>
      <c r="G20" s="177"/>
      <c r="H20" s="177"/>
      <c r="I20" s="177"/>
      <c r="K20" s="129">
        <f t="shared" si="11"/>
        <v>6</v>
      </c>
      <c r="L20" s="156" t="str">
        <f t="shared" si="12"/>
        <v> Ogilvie</v>
      </c>
      <c r="M20" s="197"/>
      <c r="N20" s="198">
        <v>1.0</v>
      </c>
      <c r="O20" s="177"/>
      <c r="P20" s="177"/>
      <c r="Q20" s="177"/>
      <c r="R20" s="177"/>
      <c r="T20" s="132"/>
      <c r="U20" s="7"/>
    </row>
    <row r="21">
      <c r="A21" s="14"/>
      <c r="B21" s="135">
        <f t="shared" si="9"/>
        <v>6</v>
      </c>
      <c r="C21" s="156" t="str">
        <f t="shared" si="10"/>
        <v> Blumenschein</v>
      </c>
      <c r="D21" s="197"/>
      <c r="E21" s="198">
        <v>1.0</v>
      </c>
      <c r="F21" s="177"/>
      <c r="G21" s="177"/>
      <c r="H21" s="177"/>
      <c r="I21" s="177"/>
      <c r="K21" s="135">
        <f t="shared" si="11"/>
        <v>6</v>
      </c>
      <c r="L21" s="156" t="str">
        <f t="shared" si="12"/>
        <v> Connors</v>
      </c>
      <c r="M21" s="200">
        <v>1.0</v>
      </c>
      <c r="N21" s="205"/>
      <c r="O21" s="177"/>
      <c r="P21" s="177"/>
      <c r="Q21" s="177"/>
      <c r="R21" s="177"/>
      <c r="T21" s="132"/>
      <c r="U21" s="7"/>
    </row>
    <row r="22">
      <c r="A22" s="8"/>
      <c r="B22" s="129">
        <f t="shared" si="9"/>
        <v>7</v>
      </c>
      <c r="C22" s="156" t="str">
        <f t="shared" si="10"/>
        <v> Raza</v>
      </c>
      <c r="D22" s="208"/>
      <c r="E22" s="207">
        <v>1.0</v>
      </c>
      <c r="F22" s="177"/>
      <c r="G22" s="177"/>
      <c r="H22" s="177"/>
      <c r="I22" s="177"/>
      <c r="K22" s="129">
        <f t="shared" si="11"/>
        <v>7</v>
      </c>
      <c r="L22" s="156" t="str">
        <f t="shared" si="12"/>
        <v> Ogilvie</v>
      </c>
      <c r="M22" s="200">
        <v>1.0</v>
      </c>
      <c r="N22" s="205"/>
      <c r="O22" s="177"/>
      <c r="P22" s="177"/>
      <c r="Q22" s="177"/>
      <c r="R22" s="177"/>
      <c r="T22" s="132"/>
      <c r="U22" s="7"/>
    </row>
    <row r="23">
      <c r="A23" s="14"/>
      <c r="B23" s="135">
        <f t="shared" si="9"/>
        <v>7</v>
      </c>
      <c r="C23" s="156" t="str">
        <f t="shared" si="10"/>
        <v> Blumenschein</v>
      </c>
      <c r="D23" s="197"/>
      <c r="E23" s="198">
        <v>1.0</v>
      </c>
      <c r="F23" s="177"/>
      <c r="G23" s="177"/>
      <c r="H23" s="177"/>
      <c r="I23" s="177"/>
      <c r="K23" s="135">
        <f t="shared" si="11"/>
        <v>7</v>
      </c>
      <c r="L23" s="156" t="str">
        <f t="shared" si="12"/>
        <v> Connors</v>
      </c>
      <c r="M23" s="200">
        <v>1.0</v>
      </c>
      <c r="N23" s="205"/>
      <c r="O23" s="177"/>
      <c r="P23" s="177"/>
      <c r="Q23" s="177"/>
      <c r="R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 Raza</v>
      </c>
      <c r="D24" s="200">
        <v>1.0</v>
      </c>
      <c r="E24" s="205"/>
      <c r="F24" s="177"/>
      <c r="G24" s="177"/>
      <c r="H24" s="177"/>
      <c r="I24" s="177"/>
      <c r="K24" s="129">
        <f t="shared" si="11"/>
        <v>8</v>
      </c>
      <c r="L24" s="156" t="str">
        <f t="shared" si="12"/>
        <v> Ogilvie</v>
      </c>
      <c r="M24" s="202">
        <v>1.0</v>
      </c>
      <c r="N24" s="188"/>
      <c r="O24" s="177"/>
      <c r="P24" s="177"/>
      <c r="Q24" s="177"/>
      <c r="R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 Blumenschein</v>
      </c>
      <c r="D25" s="202">
        <v>1.0</v>
      </c>
      <c r="E25" s="188"/>
      <c r="F25" s="177"/>
      <c r="G25" s="177"/>
      <c r="H25" s="177"/>
      <c r="I25" s="177"/>
      <c r="K25" s="135">
        <f t="shared" si="11"/>
        <v>8</v>
      </c>
      <c r="L25" s="156" t="str">
        <f t="shared" si="12"/>
        <v> Connors</v>
      </c>
      <c r="M25" s="206"/>
      <c r="N25" s="207">
        <v>1.0</v>
      </c>
      <c r="O25" s="177"/>
      <c r="P25" s="177"/>
      <c r="Q25" s="177"/>
      <c r="R25" s="177"/>
      <c r="T25" s="132"/>
      <c r="U25" s="7"/>
    </row>
    <row r="26">
      <c r="A26" s="8"/>
      <c r="B26" s="129">
        <f t="shared" si="9"/>
        <v>9</v>
      </c>
      <c r="C26" s="156" t="str">
        <f t="shared" si="10"/>
        <v> Raza</v>
      </c>
      <c r="D26" s="202">
        <v>1.0</v>
      </c>
      <c r="E26" s="188"/>
      <c r="F26" s="177"/>
      <c r="G26" s="177"/>
      <c r="H26" s="177"/>
      <c r="I26" s="177"/>
      <c r="K26" s="129">
        <f t="shared" si="11"/>
        <v>9</v>
      </c>
      <c r="L26" s="156" t="str">
        <f t="shared" si="12"/>
        <v> Ogilvie</v>
      </c>
      <c r="M26" s="197"/>
      <c r="N26" s="198">
        <v>1.0</v>
      </c>
      <c r="O26" s="177"/>
      <c r="P26" s="177"/>
      <c r="Q26" s="177"/>
      <c r="R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 Blumenschein</v>
      </c>
      <c r="D27" s="202">
        <v>1.0</v>
      </c>
      <c r="E27" s="188"/>
      <c r="F27" s="177"/>
      <c r="G27" s="177"/>
      <c r="H27" s="177"/>
      <c r="I27" s="177"/>
      <c r="K27" s="135">
        <f t="shared" si="11"/>
        <v>9</v>
      </c>
      <c r="L27" s="156" t="str">
        <f t="shared" si="12"/>
        <v> Connors</v>
      </c>
      <c r="M27" s="200">
        <v>1.0</v>
      </c>
      <c r="N27" s="205"/>
      <c r="O27" s="177"/>
      <c r="P27" s="177"/>
      <c r="Q27" s="177"/>
      <c r="R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 Raza</v>
      </c>
      <c r="D28" s="200">
        <v>1.0</v>
      </c>
      <c r="E28" s="205"/>
      <c r="F28" s="177"/>
      <c r="G28" s="191"/>
      <c r="H28" s="177"/>
      <c r="I28" s="177"/>
      <c r="K28" s="129">
        <f t="shared" si="11"/>
        <v>10</v>
      </c>
      <c r="L28" s="156" t="str">
        <f t="shared" si="12"/>
        <v> Ogilvie</v>
      </c>
      <c r="M28" s="200">
        <v>1.0</v>
      </c>
      <c r="N28" s="205"/>
      <c r="O28" s="127">
        <v>1.0</v>
      </c>
      <c r="P28" s="177"/>
      <c r="Q28" s="177"/>
      <c r="R28" s="177"/>
      <c r="T28" s="132"/>
      <c r="U28" s="7"/>
    </row>
    <row r="29">
      <c r="A29" s="14"/>
      <c r="B29" s="135">
        <f t="shared" si="9"/>
        <v>10</v>
      </c>
      <c r="C29" s="156" t="str">
        <f t="shared" si="10"/>
        <v> Blumenschein</v>
      </c>
      <c r="D29" s="200">
        <v>1.0</v>
      </c>
      <c r="E29" s="205"/>
      <c r="F29" s="177"/>
      <c r="G29" s="177"/>
      <c r="H29" s="177"/>
      <c r="I29" s="177"/>
      <c r="K29" s="135">
        <f t="shared" si="11"/>
        <v>10</v>
      </c>
      <c r="L29" s="156" t="str">
        <f t="shared" si="12"/>
        <v> Connors</v>
      </c>
      <c r="M29" s="197"/>
      <c r="N29" s="205"/>
      <c r="O29" s="177"/>
      <c r="P29" s="177"/>
      <c r="Q29" s="177"/>
      <c r="R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 Raza</v>
      </c>
      <c r="D30" s="197"/>
      <c r="E30" s="198">
        <v>1.0</v>
      </c>
      <c r="F30" s="177"/>
      <c r="G30" s="177"/>
      <c r="H30" s="177"/>
      <c r="I30" s="177"/>
      <c r="K30" s="129">
        <f t="shared" si="11"/>
        <v>11</v>
      </c>
      <c r="L30" s="156" t="str">
        <f t="shared" si="12"/>
        <v> Ogilvie</v>
      </c>
      <c r="M30" s="197"/>
      <c r="N30" s="205"/>
      <c r="O30" s="177"/>
      <c r="P30" s="177"/>
      <c r="Q30" s="177"/>
      <c r="R30" s="177"/>
      <c r="T30" s="132"/>
      <c r="U30" s="7"/>
    </row>
    <row r="31">
      <c r="A31" s="14"/>
      <c r="B31" s="135">
        <f t="shared" si="9"/>
        <v>11</v>
      </c>
      <c r="C31" s="156" t="str">
        <f t="shared" si="10"/>
        <v> Blumenschein</v>
      </c>
      <c r="D31" s="197"/>
      <c r="E31" s="198">
        <v>1.0</v>
      </c>
      <c r="F31" s="177"/>
      <c r="G31" s="177"/>
      <c r="H31" s="177"/>
      <c r="I31" s="177"/>
      <c r="K31" s="135">
        <f t="shared" si="11"/>
        <v>11</v>
      </c>
      <c r="L31" s="156" t="str">
        <f t="shared" si="12"/>
        <v> Connors</v>
      </c>
      <c r="M31" s="206"/>
      <c r="N31" s="203"/>
      <c r="O31" s="177"/>
      <c r="P31" s="177"/>
      <c r="Q31" s="177"/>
      <c r="R31" s="177"/>
      <c r="T31" s="132"/>
      <c r="U31" s="7"/>
    </row>
    <row r="32">
      <c r="A32" s="8"/>
      <c r="B32" s="129">
        <f t="shared" si="9"/>
        <v>12</v>
      </c>
      <c r="C32" s="156" t="str">
        <f t="shared" si="10"/>
        <v> Raza</v>
      </c>
      <c r="D32" s="197"/>
      <c r="E32" s="205"/>
      <c r="F32" s="177"/>
      <c r="G32" s="177"/>
      <c r="H32" s="177"/>
      <c r="I32" s="177"/>
      <c r="K32" s="129">
        <f t="shared" si="11"/>
        <v>12</v>
      </c>
      <c r="L32" s="156" t="str">
        <f t="shared" si="12"/>
        <v> Ogilvie</v>
      </c>
      <c r="M32" s="197"/>
      <c r="N32" s="205"/>
      <c r="O32" s="177"/>
      <c r="P32" s="177"/>
      <c r="Q32" s="177"/>
      <c r="R32" s="177"/>
      <c r="T32" s="132"/>
      <c r="U32" s="7"/>
    </row>
    <row r="33">
      <c r="A33" s="14"/>
      <c r="B33" s="135">
        <f t="shared" si="9"/>
        <v>12</v>
      </c>
      <c r="C33" s="156" t="str">
        <f t="shared" si="10"/>
        <v> Blumenschein</v>
      </c>
      <c r="D33" s="197"/>
      <c r="E33" s="205"/>
      <c r="F33" s="177"/>
      <c r="G33" s="177"/>
      <c r="H33" s="177"/>
      <c r="I33" s="177"/>
      <c r="K33" s="135">
        <f t="shared" si="11"/>
        <v>12</v>
      </c>
      <c r="L33" s="156" t="str">
        <f t="shared" si="12"/>
        <v> Connors</v>
      </c>
      <c r="M33" s="187"/>
      <c r="N33" s="201"/>
      <c r="O33" s="177"/>
      <c r="P33" s="177"/>
      <c r="Q33" s="177"/>
      <c r="R33" s="177"/>
      <c r="T33" s="132"/>
      <c r="U33" s="7"/>
    </row>
    <row r="34">
      <c r="A34" s="8"/>
      <c r="B34" s="129">
        <f t="shared" si="9"/>
        <v>13</v>
      </c>
      <c r="C34" s="156" t="str">
        <f t="shared" si="10"/>
        <v> Raza</v>
      </c>
      <c r="D34" s="197"/>
      <c r="E34" s="205"/>
      <c r="F34" s="177"/>
      <c r="G34" s="177"/>
      <c r="H34" s="177"/>
      <c r="I34" s="177"/>
      <c r="K34" s="129">
        <f t="shared" si="11"/>
        <v>13</v>
      </c>
      <c r="L34" s="156" t="str">
        <f t="shared" si="12"/>
        <v> Ogilvie</v>
      </c>
      <c r="M34" s="208"/>
      <c r="N34" s="188"/>
      <c r="O34" s="177"/>
      <c r="P34" s="177"/>
      <c r="Q34" s="177"/>
      <c r="R34" s="177"/>
      <c r="T34" s="132"/>
      <c r="U34" s="7"/>
    </row>
    <row r="35">
      <c r="A35" s="14"/>
      <c r="B35" s="135">
        <f t="shared" si="9"/>
        <v>13</v>
      </c>
      <c r="C35" s="156" t="str">
        <f t="shared" si="10"/>
        <v> Blumenschein</v>
      </c>
      <c r="D35" s="208"/>
      <c r="E35" s="188"/>
      <c r="F35" s="177"/>
      <c r="G35" s="177"/>
      <c r="H35" s="177"/>
      <c r="I35" s="177"/>
      <c r="K35" s="135">
        <f t="shared" si="11"/>
        <v>13</v>
      </c>
      <c r="L35" s="156" t="str">
        <f t="shared" si="12"/>
        <v> Connors</v>
      </c>
      <c r="M35" s="197"/>
      <c r="N35" s="205"/>
      <c r="O35" s="177"/>
      <c r="P35" s="177"/>
      <c r="Q35" s="177"/>
      <c r="R35" s="177"/>
      <c r="T35" s="132"/>
      <c r="U35" s="7"/>
    </row>
    <row r="36">
      <c r="A36" s="8"/>
      <c r="B36" s="129">
        <f t="shared" si="9"/>
        <v>14</v>
      </c>
      <c r="C36" s="156" t="str">
        <f t="shared" si="10"/>
        <v> Raza</v>
      </c>
      <c r="D36" s="208"/>
      <c r="E36" s="205"/>
      <c r="F36" s="177"/>
      <c r="G36" s="177"/>
      <c r="H36" s="177"/>
      <c r="I36" s="177"/>
      <c r="K36" s="129">
        <f t="shared" si="11"/>
        <v>14</v>
      </c>
      <c r="L36" s="156" t="str">
        <f t="shared" si="12"/>
        <v> Ogilvie</v>
      </c>
      <c r="M36" s="208"/>
      <c r="N36" s="205"/>
      <c r="O36" s="177"/>
      <c r="P36" s="177"/>
      <c r="Q36" s="177"/>
      <c r="R36" s="177"/>
      <c r="T36" s="132"/>
      <c r="U36" s="7"/>
    </row>
    <row r="37">
      <c r="A37" s="14"/>
      <c r="B37" s="135">
        <f t="shared" si="9"/>
        <v>14</v>
      </c>
      <c r="C37" s="156" t="str">
        <f t="shared" si="10"/>
        <v> Blumenschein</v>
      </c>
      <c r="D37" s="208"/>
      <c r="E37" s="188"/>
      <c r="F37" s="177"/>
      <c r="G37" s="177"/>
      <c r="H37" s="177"/>
      <c r="I37" s="177"/>
      <c r="K37" s="135">
        <f t="shared" si="11"/>
        <v>14</v>
      </c>
      <c r="L37" s="156" t="str">
        <f t="shared" si="12"/>
        <v> Connors</v>
      </c>
      <c r="M37" s="208"/>
      <c r="N37" s="188"/>
      <c r="O37" s="177"/>
      <c r="P37" s="177"/>
      <c r="Q37" s="177"/>
      <c r="R37" s="177"/>
      <c r="T37" s="132"/>
      <c r="U37" s="7"/>
    </row>
    <row r="38">
      <c r="A38" s="8"/>
      <c r="B38" s="129">
        <f t="shared" si="9"/>
        <v>15</v>
      </c>
      <c r="C38" s="156" t="str">
        <f t="shared" si="10"/>
        <v> Raza</v>
      </c>
      <c r="D38" s="208"/>
      <c r="E38" s="205"/>
      <c r="F38" s="177"/>
      <c r="G38" s="177"/>
      <c r="H38" s="177"/>
      <c r="I38" s="177"/>
      <c r="K38" s="129">
        <f t="shared" si="11"/>
        <v>15</v>
      </c>
      <c r="L38" s="156" t="str">
        <f t="shared" si="12"/>
        <v> Ogilvie</v>
      </c>
      <c r="M38" s="208"/>
      <c r="N38" s="205"/>
      <c r="O38" s="177"/>
      <c r="P38" s="177"/>
      <c r="Q38" s="177"/>
      <c r="R38" s="177"/>
      <c r="T38" s="132"/>
      <c r="U38" s="7"/>
    </row>
    <row r="39">
      <c r="A39" s="14"/>
      <c r="B39" s="135">
        <f t="shared" si="9"/>
        <v>15</v>
      </c>
      <c r="C39" s="156" t="str">
        <f t="shared" si="10"/>
        <v> Blumenschein</v>
      </c>
      <c r="D39" s="197"/>
      <c r="E39" s="205"/>
      <c r="F39" s="177"/>
      <c r="G39" s="177"/>
      <c r="H39" s="177"/>
      <c r="I39" s="177"/>
      <c r="K39" s="135">
        <f t="shared" si="11"/>
        <v>15</v>
      </c>
      <c r="L39" s="156" t="str">
        <f t="shared" si="12"/>
        <v> Connors</v>
      </c>
      <c r="M39" s="208"/>
      <c r="N39" s="205"/>
      <c r="O39" s="177"/>
      <c r="P39" s="177"/>
      <c r="Q39" s="177"/>
      <c r="R39" s="177"/>
      <c r="T39" s="132"/>
      <c r="U39" s="7"/>
    </row>
    <row r="40">
      <c r="A40" s="8"/>
      <c r="B40" s="129">
        <f t="shared" si="9"/>
        <v>16</v>
      </c>
      <c r="C40" s="156" t="str">
        <f t="shared" si="10"/>
        <v> Raza</v>
      </c>
      <c r="D40" s="180"/>
      <c r="E40" s="179"/>
      <c r="F40" s="177"/>
      <c r="G40" s="177"/>
      <c r="H40" s="177"/>
      <c r="I40" s="177"/>
      <c r="K40" s="129">
        <f t="shared" si="11"/>
        <v>16</v>
      </c>
      <c r="L40" s="156" t="str">
        <f t="shared" si="12"/>
        <v> Ogilvie</v>
      </c>
      <c r="M40" s="208"/>
      <c r="N40" s="205"/>
      <c r="O40" s="177"/>
      <c r="P40" s="177"/>
      <c r="Q40" s="177"/>
      <c r="R40" s="177"/>
      <c r="T40" s="132"/>
      <c r="U40" s="7"/>
    </row>
    <row r="41">
      <c r="A41" s="14"/>
      <c r="B41" s="135">
        <f t="shared" si="9"/>
        <v>16</v>
      </c>
      <c r="C41" s="156" t="str">
        <f t="shared" si="10"/>
        <v> Blumenschein</v>
      </c>
      <c r="D41" s="180"/>
      <c r="E41" s="181"/>
      <c r="F41" s="177"/>
      <c r="G41" s="177"/>
      <c r="H41" s="177"/>
      <c r="I41" s="177"/>
      <c r="K41" s="135">
        <f t="shared" si="11"/>
        <v>16</v>
      </c>
      <c r="L41" s="156" t="str">
        <f t="shared" si="12"/>
        <v> Connors</v>
      </c>
      <c r="M41" s="206"/>
      <c r="N41" s="201"/>
      <c r="O41" s="177"/>
      <c r="P41" s="177"/>
      <c r="Q41" s="177"/>
      <c r="R41" s="177"/>
      <c r="T41" s="132"/>
      <c r="U41" s="7"/>
    </row>
    <row r="42">
      <c r="A42" s="8"/>
      <c r="B42" s="129">
        <f t="shared" si="9"/>
        <v>17</v>
      </c>
      <c r="C42" s="156" t="str">
        <f t="shared" si="10"/>
        <v> Raza</v>
      </c>
      <c r="D42" s="180"/>
      <c r="E42" s="181"/>
      <c r="F42" s="177"/>
      <c r="G42" s="177"/>
      <c r="H42" s="177"/>
      <c r="I42" s="177"/>
      <c r="K42" s="129">
        <f t="shared" si="11"/>
        <v>17</v>
      </c>
      <c r="L42" s="156" t="str">
        <f t="shared" si="12"/>
        <v> Ogilvie</v>
      </c>
      <c r="M42" s="208"/>
      <c r="N42" s="205"/>
      <c r="O42" s="177"/>
      <c r="P42" s="177"/>
      <c r="Q42" s="177"/>
      <c r="R42" s="177"/>
      <c r="T42" s="132"/>
      <c r="U42" s="7"/>
    </row>
    <row r="43">
      <c r="A43" s="14"/>
      <c r="B43" s="135">
        <f t="shared" si="9"/>
        <v>17</v>
      </c>
      <c r="C43" s="156" t="str">
        <f t="shared" si="10"/>
        <v> Blumenschein</v>
      </c>
      <c r="D43" s="178"/>
      <c r="E43" s="179"/>
      <c r="F43" s="177"/>
      <c r="G43" s="177"/>
      <c r="H43" s="177"/>
      <c r="I43" s="177"/>
      <c r="K43" s="135">
        <f t="shared" si="11"/>
        <v>17</v>
      </c>
      <c r="L43" s="156" t="str">
        <f t="shared" si="12"/>
        <v> Connors</v>
      </c>
      <c r="M43" s="180"/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Raza</v>
      </c>
      <c r="D44" s="180"/>
      <c r="E44" s="181"/>
      <c r="F44" s="177"/>
      <c r="G44" s="177"/>
      <c r="H44" s="177"/>
      <c r="I44" s="177"/>
      <c r="K44" s="129">
        <f t="shared" si="11"/>
        <v>18</v>
      </c>
      <c r="L44" s="156" t="str">
        <f t="shared" si="12"/>
        <v> Ogilvie</v>
      </c>
      <c r="M44" s="180"/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Blumenschein</v>
      </c>
      <c r="D45" s="180"/>
      <c r="E45" s="181"/>
      <c r="F45" s="177"/>
      <c r="G45" s="177"/>
      <c r="H45" s="177"/>
      <c r="I45" s="177"/>
      <c r="K45" s="129">
        <f t="shared" si="11"/>
        <v>18</v>
      </c>
      <c r="L45" s="156" t="str">
        <f t="shared" si="12"/>
        <v> Connors</v>
      </c>
      <c r="M45" s="180"/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Raza</v>
      </c>
      <c r="D46" s="180"/>
      <c r="E46" s="181"/>
      <c r="F46" s="177"/>
      <c r="G46" s="177"/>
      <c r="H46" s="177"/>
      <c r="I46" s="177"/>
      <c r="K46" s="135">
        <f t="shared" si="11"/>
        <v>19</v>
      </c>
      <c r="L46" s="156" t="str">
        <f t="shared" si="12"/>
        <v> Ogilvie</v>
      </c>
      <c r="M46" s="180"/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Blumenschein</v>
      </c>
      <c r="D47" s="180"/>
      <c r="E47" s="181"/>
      <c r="F47" s="177"/>
      <c r="G47" s="177"/>
      <c r="H47" s="177"/>
      <c r="I47" s="177"/>
      <c r="K47" s="129">
        <f t="shared" si="11"/>
        <v>19</v>
      </c>
      <c r="L47" s="156" t="str">
        <f t="shared" si="12"/>
        <v> Connors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Raza</v>
      </c>
      <c r="D48" s="180"/>
      <c r="E48" s="181"/>
      <c r="F48" s="177"/>
      <c r="G48" s="177"/>
      <c r="H48" s="177"/>
      <c r="I48" s="177"/>
      <c r="K48" s="135">
        <f t="shared" si="11"/>
        <v>20</v>
      </c>
      <c r="L48" s="156" t="str">
        <f t="shared" si="12"/>
        <v> Ogilvie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Blumenschein</v>
      </c>
      <c r="D49" s="178"/>
      <c r="E49" s="179"/>
      <c r="F49" s="177"/>
      <c r="G49" s="177"/>
      <c r="H49" s="177"/>
      <c r="I49" s="177"/>
      <c r="K49" s="129">
        <f t="shared" si="11"/>
        <v>20</v>
      </c>
      <c r="L49" s="156" t="str">
        <f t="shared" si="12"/>
        <v> Connors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Raza</v>
      </c>
      <c r="D50" s="180"/>
      <c r="E50" s="181"/>
      <c r="F50" s="177"/>
      <c r="G50" s="177"/>
      <c r="H50" s="177"/>
      <c r="I50" s="177"/>
      <c r="K50" s="129">
        <f t="shared" si="11"/>
        <v>21</v>
      </c>
      <c r="L50" s="156" t="str">
        <f t="shared" si="12"/>
        <v> Ogilvie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Blumenschein</v>
      </c>
      <c r="D51" s="180"/>
      <c r="E51" s="181"/>
      <c r="F51" s="177"/>
      <c r="G51" s="177"/>
      <c r="H51" s="177"/>
      <c r="I51" s="177"/>
      <c r="K51" s="135">
        <f t="shared" si="11"/>
        <v>21</v>
      </c>
      <c r="L51" s="156" t="str">
        <f t="shared" si="12"/>
        <v> Connors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Raza</v>
      </c>
      <c r="D52" s="178"/>
      <c r="E52" s="181"/>
      <c r="F52" s="177"/>
      <c r="G52" s="177"/>
      <c r="H52" s="177"/>
      <c r="I52" s="177"/>
      <c r="K52" s="129">
        <f t="shared" si="11"/>
        <v>22</v>
      </c>
      <c r="L52" s="156" t="str">
        <f t="shared" si="12"/>
        <v> Ogilvie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Blumenschein</v>
      </c>
      <c r="D53" s="178"/>
      <c r="E53" s="181"/>
      <c r="F53" s="177"/>
      <c r="G53" s="177"/>
      <c r="H53" s="177"/>
      <c r="I53" s="177"/>
      <c r="K53" s="135">
        <f t="shared" si="11"/>
        <v>22</v>
      </c>
      <c r="L53" s="156" t="str">
        <f t="shared" si="12"/>
        <v> Connors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Raza</v>
      </c>
      <c r="D54" s="178"/>
      <c r="E54" s="181"/>
      <c r="F54" s="177"/>
      <c r="G54" s="177"/>
      <c r="H54" s="177"/>
      <c r="I54" s="177"/>
      <c r="K54" s="129">
        <f t="shared" si="11"/>
        <v>23</v>
      </c>
      <c r="L54" s="156" t="str">
        <f t="shared" si="12"/>
        <v> Ogilvie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Blumenschein</v>
      </c>
      <c r="D55" s="178"/>
      <c r="E55" s="181"/>
      <c r="K55" s="135">
        <f t="shared" si="11"/>
        <v>23</v>
      </c>
      <c r="L55" s="156" t="str">
        <f t="shared" si="12"/>
        <v> Connors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Raza</v>
      </c>
      <c r="D56" s="178"/>
      <c r="E56" s="181"/>
      <c r="K56" s="129">
        <f t="shared" si="11"/>
        <v>24</v>
      </c>
      <c r="L56" s="156" t="str">
        <f t="shared" si="12"/>
        <v> Ogilvie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Blumenschein</v>
      </c>
      <c r="D57" s="178"/>
      <c r="E57" s="181"/>
      <c r="K57" s="129">
        <f t="shared" si="11"/>
        <v>24</v>
      </c>
      <c r="L57" s="156" t="str">
        <f t="shared" si="12"/>
        <v> Connors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Raza</v>
      </c>
      <c r="D58" s="178"/>
      <c r="E58" s="181"/>
      <c r="K58" s="135">
        <f t="shared" si="11"/>
        <v>25</v>
      </c>
      <c r="L58" s="156" t="str">
        <f t="shared" si="12"/>
        <v> Ogilvie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Blumenschein</v>
      </c>
      <c r="D59" s="178"/>
      <c r="E59" s="181"/>
      <c r="K59" s="129">
        <f t="shared" si="11"/>
        <v>25</v>
      </c>
      <c r="L59" s="156" t="str">
        <f t="shared" si="12"/>
        <v> Connors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Raza</v>
      </c>
      <c r="D60" s="178"/>
      <c r="E60" s="181"/>
      <c r="K60" s="135">
        <f t="shared" si="11"/>
        <v>26</v>
      </c>
      <c r="L60" s="156" t="str">
        <f t="shared" si="12"/>
        <v> Ogilvie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Blumenschein</v>
      </c>
      <c r="D61" s="178"/>
      <c r="E61" s="181"/>
      <c r="K61" s="129">
        <f t="shared" si="11"/>
        <v>26</v>
      </c>
      <c r="L61" s="156" t="str">
        <f t="shared" si="12"/>
        <v> Connors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Raza</v>
      </c>
      <c r="D62" s="178"/>
      <c r="E62" s="181"/>
      <c r="K62" s="135">
        <f t="shared" si="11"/>
        <v>27</v>
      </c>
      <c r="L62" s="156" t="str">
        <f t="shared" si="12"/>
        <v> Ogilvie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Blumenschein</v>
      </c>
      <c r="D63" s="178"/>
      <c r="E63" s="181"/>
      <c r="K63" s="129">
        <f t="shared" si="11"/>
        <v>27</v>
      </c>
      <c r="L63" s="156" t="str">
        <f t="shared" si="12"/>
        <v> Connors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Raza</v>
      </c>
      <c r="D64" s="178"/>
      <c r="E64" s="181"/>
      <c r="K64" s="135">
        <f t="shared" si="11"/>
        <v>28</v>
      </c>
      <c r="L64" s="156" t="str">
        <f t="shared" si="12"/>
        <v> Ogilvie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Blumenschein</v>
      </c>
      <c r="D65" s="178"/>
      <c r="E65" s="181"/>
      <c r="K65" s="129">
        <f t="shared" si="11"/>
        <v>28</v>
      </c>
      <c r="L65" s="156" t="str">
        <f t="shared" si="12"/>
        <v> Connors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Raza</v>
      </c>
      <c r="D66" s="178"/>
      <c r="E66" s="181"/>
      <c r="K66" s="135">
        <f t="shared" si="11"/>
        <v>29</v>
      </c>
      <c r="L66" s="156" t="str">
        <f t="shared" si="12"/>
        <v> Ogilvie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Blumenschein</v>
      </c>
      <c r="D67" s="178"/>
      <c r="E67" s="181"/>
      <c r="K67" s="135">
        <f t="shared" si="11"/>
        <v>29</v>
      </c>
      <c r="L67" s="156" t="str">
        <f t="shared" si="12"/>
        <v> Connors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Raza</v>
      </c>
      <c r="D68" s="178"/>
      <c r="E68" s="181"/>
      <c r="K68" s="135">
        <f t="shared" si="11"/>
        <v>30</v>
      </c>
      <c r="L68" s="156" t="str">
        <f t="shared" si="12"/>
        <v> Ogilvie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Blumenschein</v>
      </c>
      <c r="D69" s="178"/>
      <c r="E69" s="181"/>
      <c r="K69" s="135">
        <f t="shared" si="11"/>
        <v>30</v>
      </c>
      <c r="L69" s="156" t="str">
        <f t="shared" si="12"/>
        <v> Connors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Raza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Ogilvie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Blumenschein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Connors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Raza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Ogilvie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Blumenschein</v>
      </c>
      <c r="D73" s="178"/>
      <c r="E73" s="181"/>
      <c r="K73" s="129">
        <v>32.0</v>
      </c>
      <c r="L73" s="156" t="str">
        <f t="shared" si="12"/>
        <v> Connors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Raza</v>
      </c>
      <c r="D74" s="192"/>
      <c r="E74" s="181"/>
      <c r="K74" s="129">
        <v>33.0</v>
      </c>
      <c r="L74" s="156" t="str">
        <f t="shared" si="12"/>
        <v> Ogilvie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Blumenschein</v>
      </c>
      <c r="D75" s="178"/>
      <c r="E75" s="181"/>
      <c r="K75" s="129">
        <v>33.0</v>
      </c>
      <c r="L75" s="156" t="str">
        <f t="shared" si="12"/>
        <v> Connors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Raza</v>
      </c>
      <c r="D76" s="178"/>
      <c r="E76" s="181"/>
      <c r="K76" s="129">
        <v>34.0</v>
      </c>
      <c r="L76" s="156" t="str">
        <f t="shared" si="12"/>
        <v> Ogilvie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Blumenschein</v>
      </c>
      <c r="D77" s="178"/>
      <c r="E77" s="181"/>
      <c r="K77" s="129">
        <v>34.0</v>
      </c>
      <c r="L77" s="156" t="str">
        <f t="shared" si="12"/>
        <v> Connors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Raza</v>
      </c>
      <c r="D78" s="178"/>
      <c r="E78" s="181"/>
      <c r="K78" s="129">
        <v>35.0</v>
      </c>
      <c r="L78" s="156" t="str">
        <f t="shared" si="12"/>
        <v> Ogilvie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Blumenschein</v>
      </c>
      <c r="D79" s="178"/>
      <c r="E79" s="181"/>
      <c r="K79" s="129">
        <v>35.0</v>
      </c>
      <c r="L79" s="156" t="str">
        <f t="shared" si="12"/>
        <v> Connors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Raza</v>
      </c>
      <c r="D80" s="178"/>
      <c r="E80" s="181"/>
      <c r="K80" s="129">
        <v>36.0</v>
      </c>
      <c r="L80" s="156" t="str">
        <f t="shared" si="12"/>
        <v> Ogilvie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Blumenschein</v>
      </c>
      <c r="D81" s="178"/>
      <c r="E81" s="181"/>
      <c r="K81" s="129">
        <v>36.0</v>
      </c>
      <c r="L81" s="156" t="str">
        <f t="shared" si="12"/>
        <v> Connors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Raza</v>
      </c>
      <c r="D82" s="178"/>
      <c r="E82" s="181"/>
      <c r="K82" s="129">
        <v>37.0</v>
      </c>
      <c r="L82" s="156" t="str">
        <f t="shared" si="12"/>
        <v> Ogilvie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Blumenschein</v>
      </c>
      <c r="D83" s="178"/>
      <c r="E83" s="181"/>
      <c r="K83" s="129">
        <v>37.0</v>
      </c>
      <c r="L83" s="156" t="str">
        <f t="shared" si="12"/>
        <v> Connors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Raza</v>
      </c>
      <c r="D84" s="178"/>
      <c r="E84" s="181"/>
      <c r="K84" s="129">
        <v>38.0</v>
      </c>
      <c r="L84" s="156" t="str">
        <f t="shared" si="12"/>
        <v> Ogilvie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Blumenschein</v>
      </c>
      <c r="D85" s="178"/>
      <c r="E85" s="181"/>
      <c r="K85" s="129">
        <v>38.0</v>
      </c>
      <c r="L85" s="156" t="str">
        <f t="shared" si="12"/>
        <v> Connors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Raza</v>
      </c>
      <c r="D86" s="178"/>
      <c r="E86" s="181"/>
      <c r="K86" s="129">
        <v>39.0</v>
      </c>
      <c r="L86" s="156" t="str">
        <f t="shared" si="12"/>
        <v> Ogilvie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Blumenschein</v>
      </c>
      <c r="D87" s="178"/>
      <c r="E87" s="181"/>
      <c r="K87" s="129">
        <v>39.0</v>
      </c>
      <c r="L87" s="156" t="str">
        <f t="shared" si="12"/>
        <v> Connors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Raza</v>
      </c>
      <c r="D88" s="178"/>
      <c r="E88" s="181"/>
      <c r="K88" s="129">
        <v>40.0</v>
      </c>
      <c r="L88" s="156" t="str">
        <f t="shared" si="12"/>
        <v> Ogilvie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Blumenschein</v>
      </c>
      <c r="D89" s="178"/>
      <c r="E89" s="181"/>
      <c r="K89" s="129">
        <v>40.0</v>
      </c>
      <c r="L89" s="156" t="str">
        <f t="shared" si="12"/>
        <v> Connors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0.13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120</v>
      </c>
      <c r="D3" s="189">
        <f t="shared" ref="D3:J3" si="1">SUMPRODUCT(D10:D90,MOD(ROW(D10:D90),2)=0)</f>
        <v>9</v>
      </c>
      <c r="E3" s="189">
        <f t="shared" si="1"/>
        <v>4</v>
      </c>
      <c r="F3" s="189">
        <f t="shared" si="1"/>
        <v>0</v>
      </c>
      <c r="G3" s="189">
        <f t="shared" si="1"/>
        <v>2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121</v>
      </c>
      <c r="M3" s="189">
        <f t="shared" ref="M3:S3" si="2">SUMPRODUCT(M10:M90,MOD(ROW(M10:M90),2)=0)</f>
        <v>10</v>
      </c>
      <c r="N3" s="189">
        <f t="shared" si="2"/>
        <v>3</v>
      </c>
      <c r="O3" s="189">
        <f t="shared" si="2"/>
        <v>0</v>
      </c>
      <c r="P3" s="189">
        <f t="shared" si="2"/>
        <v>0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98</v>
      </c>
      <c r="D4" s="191">
        <f t="shared" ref="D4:J4" si="3">SUMPRODUCT(D10:D90,MOD(ROW(D10:D90),2))</f>
        <v>10</v>
      </c>
      <c r="E4" s="191">
        <f t="shared" si="3"/>
        <v>5</v>
      </c>
      <c r="F4" s="191">
        <f t="shared" si="3"/>
        <v>0</v>
      </c>
      <c r="G4" s="191">
        <f t="shared" si="3"/>
        <v>1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84</v>
      </c>
      <c r="M4" s="191">
        <f t="shared" ref="M4:S4" si="4">SUMPRODUCT(M10:M90,MOD(ROW(M10:M90),2))</f>
        <v>7</v>
      </c>
      <c r="N4" s="191">
        <f t="shared" si="4"/>
        <v>7</v>
      </c>
      <c r="O4" s="191">
        <f t="shared" si="4"/>
        <v>0</v>
      </c>
      <c r="P4" s="191">
        <f t="shared" si="4"/>
        <v>0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Miller %</v>
      </c>
      <c r="D5" s="137">
        <f t="shared" ref="D5:D6" si="6">IFERROR((E3/(E3+D3)),0)</f>
        <v>0.3076923077</v>
      </c>
      <c r="K5" s="135"/>
      <c r="L5" s="136" t="str">
        <f t="shared" ref="L5:L6" si="7">IFERROR((L10 &amp;" %"), "")</f>
        <v> Byrne %</v>
      </c>
      <c r="M5" s="137">
        <f t="shared" ref="M5:M6" si="8">IFERROR((N3/(N3+M3)),0)</f>
        <v>0.2307692308</v>
      </c>
      <c r="S5" s="132"/>
      <c r="T5" s="132"/>
      <c r="U5" s="7"/>
    </row>
    <row r="6">
      <c r="A6" s="14"/>
      <c r="B6" s="138"/>
      <c r="C6" s="139" t="str">
        <f t="shared" si="5"/>
        <v> Boyles %</v>
      </c>
      <c r="D6" s="140">
        <f t="shared" si="6"/>
        <v>0.3333333333</v>
      </c>
      <c r="E6" s="141"/>
      <c r="F6" s="141"/>
      <c r="G6" s="141"/>
      <c r="H6" s="141"/>
      <c r="I6" s="141"/>
      <c r="J6" s="141"/>
      <c r="K6" s="138"/>
      <c r="L6" s="139" t="str">
        <f t="shared" si="7"/>
        <v> Kulkarni %</v>
      </c>
      <c r="M6" s="142">
        <f t="shared" si="8"/>
        <v>0.5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Miller")</f>
        <v> Miller</v>
      </c>
      <c r="D10" s="197">
        <v>1.0</v>
      </c>
      <c r="E10" s="205"/>
      <c r="F10" s="199"/>
      <c r="G10" s="199"/>
      <c r="H10" s="177"/>
      <c r="I10" s="177"/>
      <c r="K10" s="129">
        <v>1.0</v>
      </c>
      <c r="L10" s="136" t="str">
        <f>IFERROR(__xludf.DUMMYFUNCTION("REGEXEXTRACT(L3, ""( .*)+"")")," Byrne")</f>
        <v> Byrne</v>
      </c>
      <c r="M10" s="197">
        <v>1.0</v>
      </c>
      <c r="N10" s="201"/>
      <c r="O10" s="177"/>
      <c r="P10" s="199"/>
      <c r="Q10" s="177"/>
      <c r="R10" s="177"/>
      <c r="T10" s="132"/>
      <c r="U10" s="7"/>
    </row>
    <row r="11">
      <c r="A11" s="8"/>
      <c r="B11" s="129">
        <v>1.0</v>
      </c>
      <c r="C11" s="136" t="str">
        <f>IFERROR(__xludf.DUMMYFUNCTION("REGEXEXTRACT(C4, ""( .*)+"")")," Boyles")</f>
        <v> Boyles</v>
      </c>
      <c r="D11" s="208"/>
      <c r="E11" s="203">
        <v>1.0</v>
      </c>
      <c r="F11" s="177"/>
      <c r="G11" s="177"/>
      <c r="H11" s="177"/>
      <c r="I11" s="177"/>
      <c r="K11" s="129">
        <v>1.0</v>
      </c>
      <c r="L11" s="136" t="str">
        <f>IFERROR(__xludf.DUMMYFUNCTION("REGEXEXTRACT(L4, ""( .*)+"")")," Kulkarni")</f>
        <v> Kulkarni</v>
      </c>
      <c r="M11" s="208"/>
      <c r="N11" s="203">
        <v>1.0</v>
      </c>
      <c r="O11" s="177"/>
      <c r="P11" s="177"/>
      <c r="Q11" s="177"/>
      <c r="R11" s="177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Miller</v>
      </c>
      <c r="D12" s="208"/>
      <c r="E12" s="203">
        <v>1.0</v>
      </c>
      <c r="F12" s="177"/>
      <c r="G12" s="177"/>
      <c r="H12" s="177"/>
      <c r="I12" s="177"/>
      <c r="K12" s="129">
        <f t="shared" ref="K12:K69" si="11">K10+1</f>
        <v>2</v>
      </c>
      <c r="L12" s="156" t="str">
        <f t="shared" ref="L12:L89" si="12">L10</f>
        <v> Byrne</v>
      </c>
      <c r="M12" s="197">
        <v>1.0</v>
      </c>
      <c r="N12" s="201"/>
      <c r="O12" s="177"/>
      <c r="P12" s="177"/>
      <c r="Q12" s="177"/>
      <c r="R12" s="177"/>
      <c r="T12" s="132"/>
      <c r="U12" s="7"/>
    </row>
    <row r="13">
      <c r="A13" s="14"/>
      <c r="B13" s="135">
        <f t="shared" si="9"/>
        <v>2</v>
      </c>
      <c r="C13" s="156" t="str">
        <f t="shared" si="10"/>
        <v> Boyles</v>
      </c>
      <c r="D13" s="197">
        <v>1.0</v>
      </c>
      <c r="E13" s="201"/>
      <c r="F13" s="177"/>
      <c r="G13" s="191">
        <v>1.0</v>
      </c>
      <c r="H13" s="177"/>
      <c r="I13" s="177"/>
      <c r="K13" s="135">
        <f t="shared" si="11"/>
        <v>2</v>
      </c>
      <c r="L13" s="156" t="str">
        <f t="shared" si="12"/>
        <v> Kulkarni</v>
      </c>
      <c r="M13" s="208"/>
      <c r="N13" s="188">
        <v>1.0</v>
      </c>
      <c r="O13" s="177"/>
      <c r="P13" s="177"/>
      <c r="Q13" s="177"/>
      <c r="R13" s="177"/>
      <c r="T13" s="132"/>
      <c r="U13" s="7"/>
    </row>
    <row r="14">
      <c r="A14" s="8"/>
      <c r="B14" s="129">
        <f t="shared" si="9"/>
        <v>3</v>
      </c>
      <c r="C14" s="156" t="str">
        <f t="shared" si="10"/>
        <v> Miller</v>
      </c>
      <c r="D14" s="208"/>
      <c r="E14" s="203">
        <v>1.0</v>
      </c>
      <c r="F14" s="177"/>
      <c r="G14" s="177"/>
      <c r="H14" s="177"/>
      <c r="I14" s="177"/>
      <c r="K14" s="129">
        <f t="shared" si="11"/>
        <v>3</v>
      </c>
      <c r="L14" s="156" t="str">
        <f t="shared" si="12"/>
        <v> Byrne</v>
      </c>
      <c r="M14" s="208"/>
      <c r="N14" s="188">
        <v>1.0</v>
      </c>
      <c r="O14" s="177"/>
      <c r="P14" s="177"/>
      <c r="Q14" s="177"/>
      <c r="R14" s="177"/>
      <c r="T14" s="132"/>
      <c r="U14" s="7"/>
    </row>
    <row r="15">
      <c r="A15" s="14"/>
      <c r="B15" s="135">
        <f t="shared" si="9"/>
        <v>3</v>
      </c>
      <c r="C15" s="156" t="str">
        <f t="shared" si="10"/>
        <v> Boyles</v>
      </c>
      <c r="D15" s="197">
        <v>1.0</v>
      </c>
      <c r="E15" s="201"/>
      <c r="F15" s="177"/>
      <c r="G15" s="177"/>
      <c r="H15" s="177"/>
      <c r="I15" s="177"/>
      <c r="K15" s="135">
        <f t="shared" si="11"/>
        <v>3</v>
      </c>
      <c r="L15" s="156" t="str">
        <f t="shared" si="12"/>
        <v> Kulkarni</v>
      </c>
      <c r="M15" s="197">
        <v>1.0</v>
      </c>
      <c r="N15" s="205"/>
      <c r="O15" s="177"/>
      <c r="P15" s="177"/>
      <c r="Q15" s="177"/>
      <c r="R15" s="177"/>
      <c r="T15" s="132"/>
      <c r="U15" s="7"/>
    </row>
    <row r="16">
      <c r="A16" s="8"/>
      <c r="B16" s="129">
        <f t="shared" si="9"/>
        <v>4</v>
      </c>
      <c r="C16" s="156" t="str">
        <f t="shared" si="10"/>
        <v> Miller</v>
      </c>
      <c r="D16" s="197">
        <v>1.0</v>
      </c>
      <c r="E16" s="205"/>
      <c r="F16" s="177"/>
      <c r="G16" s="177"/>
      <c r="H16" s="177"/>
      <c r="I16" s="177"/>
      <c r="K16" s="129">
        <f t="shared" si="11"/>
        <v>4</v>
      </c>
      <c r="L16" s="156" t="str">
        <f t="shared" si="12"/>
        <v> Byrne</v>
      </c>
      <c r="M16" s="197">
        <v>1.0</v>
      </c>
      <c r="N16" s="205"/>
      <c r="O16" s="177"/>
      <c r="P16" s="177"/>
      <c r="Q16" s="177"/>
      <c r="R16" s="177"/>
      <c r="T16" s="132"/>
      <c r="U16" s="7"/>
    </row>
    <row r="17">
      <c r="A17" s="14"/>
      <c r="B17" s="135">
        <f t="shared" si="9"/>
        <v>4</v>
      </c>
      <c r="C17" s="156" t="str">
        <f t="shared" si="10"/>
        <v> Boyles</v>
      </c>
      <c r="D17" s="197">
        <v>1.0</v>
      </c>
      <c r="E17" s="201"/>
      <c r="F17" s="177"/>
      <c r="G17" s="177"/>
      <c r="H17" s="177"/>
      <c r="I17" s="177"/>
      <c r="K17" s="135">
        <f t="shared" si="11"/>
        <v>4</v>
      </c>
      <c r="L17" s="156" t="str">
        <f t="shared" si="12"/>
        <v> Kulkarni</v>
      </c>
      <c r="M17" s="206"/>
      <c r="N17" s="203">
        <v>1.0</v>
      </c>
      <c r="O17" s="177"/>
      <c r="P17" s="177"/>
      <c r="Q17" s="177"/>
      <c r="R17" s="177"/>
      <c r="T17" s="132"/>
      <c r="U17" s="7"/>
    </row>
    <row r="18">
      <c r="A18" s="8"/>
      <c r="B18" s="129">
        <f t="shared" si="9"/>
        <v>5</v>
      </c>
      <c r="C18" s="156" t="str">
        <f t="shared" si="10"/>
        <v> Miller</v>
      </c>
      <c r="D18" s="197">
        <v>1.0</v>
      </c>
      <c r="E18" s="201"/>
      <c r="F18" s="177"/>
      <c r="G18" s="191">
        <v>1.0</v>
      </c>
      <c r="H18" s="177"/>
      <c r="I18" s="177"/>
      <c r="K18" s="129">
        <f t="shared" si="11"/>
        <v>5</v>
      </c>
      <c r="L18" s="156" t="str">
        <f t="shared" si="12"/>
        <v> Byrne</v>
      </c>
      <c r="M18" s="197">
        <v>1.0</v>
      </c>
      <c r="N18" s="205"/>
      <c r="O18" s="177"/>
      <c r="P18" s="177"/>
      <c r="Q18" s="177"/>
      <c r="R18" s="177"/>
      <c r="T18" s="132"/>
      <c r="U18" s="7"/>
    </row>
    <row r="19">
      <c r="A19" s="14"/>
      <c r="B19" s="135">
        <f t="shared" si="9"/>
        <v>5</v>
      </c>
      <c r="C19" s="156" t="str">
        <f t="shared" si="10"/>
        <v> Boyles</v>
      </c>
      <c r="D19" s="197">
        <v>1.0</v>
      </c>
      <c r="E19" s="205"/>
      <c r="F19" s="177"/>
      <c r="G19" s="177"/>
      <c r="H19" s="177"/>
      <c r="I19" s="177"/>
      <c r="K19" s="135">
        <f t="shared" si="11"/>
        <v>5</v>
      </c>
      <c r="L19" s="156" t="str">
        <f t="shared" si="12"/>
        <v> Kulkarni</v>
      </c>
      <c r="M19" s="206"/>
      <c r="N19" s="203">
        <v>1.0</v>
      </c>
      <c r="O19" s="177"/>
      <c r="P19" s="177"/>
      <c r="Q19" s="177"/>
      <c r="R19" s="177"/>
      <c r="T19" s="132"/>
      <c r="U19" s="7"/>
    </row>
    <row r="20">
      <c r="A20" s="8"/>
      <c r="B20" s="129">
        <f t="shared" si="9"/>
        <v>6</v>
      </c>
      <c r="C20" s="156" t="str">
        <f t="shared" si="10"/>
        <v> Miller</v>
      </c>
      <c r="D20" s="187">
        <v>1.0</v>
      </c>
      <c r="E20" s="201"/>
      <c r="F20" s="177"/>
      <c r="G20" s="177"/>
      <c r="H20" s="177"/>
      <c r="I20" s="177"/>
      <c r="K20" s="129">
        <f t="shared" si="11"/>
        <v>6</v>
      </c>
      <c r="L20" s="156" t="str">
        <f t="shared" si="12"/>
        <v> Byrne</v>
      </c>
      <c r="M20" s="197">
        <v>1.0</v>
      </c>
      <c r="N20" s="205"/>
      <c r="O20" s="177"/>
      <c r="P20" s="177"/>
      <c r="Q20" s="177"/>
      <c r="R20" s="177"/>
      <c r="T20" s="132"/>
      <c r="U20" s="7"/>
    </row>
    <row r="21">
      <c r="A21" s="14"/>
      <c r="B21" s="135">
        <f t="shared" si="9"/>
        <v>6</v>
      </c>
      <c r="C21" s="156" t="str">
        <f t="shared" si="10"/>
        <v> Boyles</v>
      </c>
      <c r="D21" s="197">
        <v>1.0</v>
      </c>
      <c r="E21" s="205"/>
      <c r="F21" s="177"/>
      <c r="G21" s="177"/>
      <c r="H21" s="177"/>
      <c r="I21" s="177"/>
      <c r="K21" s="135">
        <f t="shared" si="11"/>
        <v>6</v>
      </c>
      <c r="L21" s="156" t="str">
        <f t="shared" si="12"/>
        <v> Kulkarni</v>
      </c>
      <c r="M21" s="197">
        <v>1.0</v>
      </c>
      <c r="N21" s="205"/>
      <c r="O21" s="177"/>
      <c r="P21" s="177"/>
      <c r="Q21" s="177"/>
      <c r="R21" s="177"/>
      <c r="T21" s="132"/>
      <c r="U21" s="7"/>
    </row>
    <row r="22">
      <c r="A22" s="8"/>
      <c r="B22" s="129">
        <f t="shared" si="9"/>
        <v>7</v>
      </c>
      <c r="C22" s="156" t="str">
        <f t="shared" si="10"/>
        <v> Miller</v>
      </c>
      <c r="D22" s="208"/>
      <c r="E22" s="188">
        <v>1.0</v>
      </c>
      <c r="F22" s="177"/>
      <c r="G22" s="177"/>
      <c r="H22" s="177"/>
      <c r="I22" s="177"/>
      <c r="K22" s="129">
        <f t="shared" si="11"/>
        <v>7</v>
      </c>
      <c r="L22" s="156" t="str">
        <f t="shared" si="12"/>
        <v> Byrne</v>
      </c>
      <c r="M22" s="197">
        <v>1.0</v>
      </c>
      <c r="N22" s="205"/>
      <c r="O22" s="177"/>
      <c r="P22" s="177"/>
      <c r="Q22" s="177"/>
      <c r="R22" s="177"/>
      <c r="T22" s="132"/>
      <c r="U22" s="7"/>
    </row>
    <row r="23">
      <c r="A23" s="14"/>
      <c r="B23" s="135">
        <f t="shared" si="9"/>
        <v>7</v>
      </c>
      <c r="C23" s="156" t="str">
        <f t="shared" si="10"/>
        <v> Boyles</v>
      </c>
      <c r="D23" s="197">
        <v>1.0</v>
      </c>
      <c r="E23" s="205"/>
      <c r="F23" s="177"/>
      <c r="G23" s="177"/>
      <c r="H23" s="177"/>
      <c r="I23" s="177"/>
      <c r="K23" s="135">
        <f t="shared" si="11"/>
        <v>7</v>
      </c>
      <c r="L23" s="156" t="str">
        <f t="shared" si="12"/>
        <v> Kulkarni</v>
      </c>
      <c r="M23" s="197">
        <v>1.0</v>
      </c>
      <c r="N23" s="205"/>
      <c r="O23" s="177"/>
      <c r="P23" s="177"/>
      <c r="Q23" s="177"/>
      <c r="R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 Miller</v>
      </c>
      <c r="D24" s="197">
        <v>1.0</v>
      </c>
      <c r="E24" s="205"/>
      <c r="F24" s="177"/>
      <c r="G24" s="177"/>
      <c r="H24" s="177"/>
      <c r="I24" s="177"/>
      <c r="K24" s="129">
        <f t="shared" si="11"/>
        <v>8</v>
      </c>
      <c r="L24" s="156" t="str">
        <f t="shared" si="12"/>
        <v> Byrne</v>
      </c>
      <c r="M24" s="208"/>
      <c r="N24" s="188">
        <v>1.0</v>
      </c>
      <c r="O24" s="177"/>
      <c r="P24" s="177"/>
      <c r="Q24" s="177"/>
      <c r="R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 Boyles</v>
      </c>
      <c r="D25" s="208"/>
      <c r="E25" s="188">
        <v>1.0</v>
      </c>
      <c r="F25" s="177"/>
      <c r="G25" s="177"/>
      <c r="H25" s="177"/>
      <c r="I25" s="177"/>
      <c r="K25" s="135">
        <f t="shared" si="11"/>
        <v>8</v>
      </c>
      <c r="L25" s="156" t="str">
        <f t="shared" si="12"/>
        <v> Kulkarni</v>
      </c>
      <c r="M25" s="206"/>
      <c r="N25" s="203">
        <v>1.0</v>
      </c>
      <c r="O25" s="177"/>
      <c r="P25" s="177"/>
      <c r="Q25" s="177"/>
      <c r="R25" s="177"/>
      <c r="T25" s="132"/>
      <c r="U25" s="7"/>
    </row>
    <row r="26">
      <c r="A26" s="8"/>
      <c r="B26" s="129">
        <f t="shared" si="9"/>
        <v>9</v>
      </c>
      <c r="C26" s="156" t="str">
        <f t="shared" si="10"/>
        <v> Miller</v>
      </c>
      <c r="D26" s="208"/>
      <c r="E26" s="188">
        <v>1.0</v>
      </c>
      <c r="F26" s="177"/>
      <c r="G26" s="177"/>
      <c r="H26" s="177"/>
      <c r="I26" s="177"/>
      <c r="K26" s="129">
        <f t="shared" si="11"/>
        <v>9</v>
      </c>
      <c r="L26" s="156" t="str">
        <f t="shared" si="12"/>
        <v> Byrne</v>
      </c>
      <c r="M26" s="197">
        <v>1.0</v>
      </c>
      <c r="N26" s="205"/>
      <c r="O26" s="177"/>
      <c r="P26" s="177"/>
      <c r="Q26" s="177"/>
      <c r="R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 Boyles</v>
      </c>
      <c r="D27" s="208"/>
      <c r="E27" s="188">
        <v>1.0</v>
      </c>
      <c r="F27" s="177"/>
      <c r="G27" s="177"/>
      <c r="H27" s="177"/>
      <c r="I27" s="177"/>
      <c r="K27" s="135">
        <f t="shared" si="11"/>
        <v>9</v>
      </c>
      <c r="L27" s="156" t="str">
        <f t="shared" si="12"/>
        <v> Kulkarni</v>
      </c>
      <c r="M27" s="197">
        <v>1.0</v>
      </c>
      <c r="N27" s="205"/>
      <c r="O27" s="177"/>
      <c r="P27" s="177"/>
      <c r="Q27" s="177"/>
      <c r="R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 Miller</v>
      </c>
      <c r="D28" s="197">
        <v>1.0</v>
      </c>
      <c r="E28" s="205"/>
      <c r="F28" s="177"/>
      <c r="G28" s="191">
        <v>1.0</v>
      </c>
      <c r="H28" s="177"/>
      <c r="I28" s="177"/>
      <c r="K28" s="129">
        <f t="shared" si="11"/>
        <v>10</v>
      </c>
      <c r="L28" s="156" t="str">
        <f t="shared" si="12"/>
        <v> Byrne</v>
      </c>
      <c r="M28" s="197">
        <v>1.0</v>
      </c>
      <c r="N28" s="205"/>
      <c r="O28" s="177"/>
      <c r="P28" s="177"/>
      <c r="Q28" s="177"/>
      <c r="R28" s="177"/>
      <c r="T28" s="132"/>
      <c r="U28" s="7"/>
    </row>
    <row r="29">
      <c r="A29" s="14"/>
      <c r="B29" s="135">
        <f t="shared" si="9"/>
        <v>10</v>
      </c>
      <c r="C29" s="156" t="str">
        <f t="shared" si="10"/>
        <v> Boyles</v>
      </c>
      <c r="D29" s="197">
        <v>1.0</v>
      </c>
      <c r="E29" s="205"/>
      <c r="F29" s="177"/>
      <c r="G29" s="177"/>
      <c r="H29" s="177"/>
      <c r="I29" s="177"/>
      <c r="K29" s="135">
        <f t="shared" si="11"/>
        <v>10</v>
      </c>
      <c r="L29" s="156" t="str">
        <f t="shared" si="12"/>
        <v> Kulkarni</v>
      </c>
      <c r="M29" s="197">
        <v>1.0</v>
      </c>
      <c r="N29" s="205"/>
      <c r="O29" s="177"/>
      <c r="P29" s="177"/>
      <c r="Q29" s="177"/>
      <c r="R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 Miller</v>
      </c>
      <c r="D30" s="197">
        <v>1.0</v>
      </c>
      <c r="E30" s="205"/>
      <c r="F30" s="177"/>
      <c r="G30" s="177"/>
      <c r="H30" s="177"/>
      <c r="I30" s="177"/>
      <c r="K30" s="129">
        <f t="shared" si="11"/>
        <v>11</v>
      </c>
      <c r="L30" s="156" t="str">
        <f t="shared" si="12"/>
        <v> Byrne</v>
      </c>
      <c r="M30" s="197">
        <v>1.0</v>
      </c>
      <c r="N30" s="205"/>
      <c r="O30" s="177"/>
      <c r="P30" s="177"/>
      <c r="Q30" s="177"/>
      <c r="R30" s="177"/>
      <c r="T30" s="132"/>
      <c r="U30" s="7"/>
    </row>
    <row r="31">
      <c r="A31" s="14"/>
      <c r="B31" s="135">
        <f t="shared" si="9"/>
        <v>11</v>
      </c>
      <c r="C31" s="156" t="str">
        <f t="shared" si="10"/>
        <v> Boyles</v>
      </c>
      <c r="D31" s="197">
        <v>1.0</v>
      </c>
      <c r="E31" s="205"/>
      <c r="F31" s="177"/>
      <c r="G31" s="177"/>
      <c r="H31" s="177"/>
      <c r="I31" s="177"/>
      <c r="K31" s="135">
        <f t="shared" si="11"/>
        <v>11</v>
      </c>
      <c r="L31" s="156" t="str">
        <f t="shared" si="12"/>
        <v> Kulkarni</v>
      </c>
      <c r="M31" s="206"/>
      <c r="N31" s="203">
        <v>1.0</v>
      </c>
      <c r="O31" s="177"/>
      <c r="P31" s="177"/>
      <c r="Q31" s="177"/>
      <c r="R31" s="177"/>
      <c r="T31" s="132"/>
      <c r="U31" s="7"/>
    </row>
    <row r="32">
      <c r="A32" s="8"/>
      <c r="B32" s="129">
        <f t="shared" si="9"/>
        <v>12</v>
      </c>
      <c r="C32" s="156" t="str">
        <f t="shared" si="10"/>
        <v> Miller</v>
      </c>
      <c r="D32" s="197">
        <v>1.0</v>
      </c>
      <c r="E32" s="205"/>
      <c r="F32" s="177"/>
      <c r="G32" s="177"/>
      <c r="H32" s="177"/>
      <c r="I32" s="177"/>
      <c r="K32" s="129">
        <f t="shared" si="11"/>
        <v>12</v>
      </c>
      <c r="L32" s="156" t="str">
        <f t="shared" si="12"/>
        <v> Byrne</v>
      </c>
      <c r="M32" s="197">
        <v>1.0</v>
      </c>
      <c r="N32" s="205"/>
      <c r="O32" s="177"/>
      <c r="P32" s="177"/>
      <c r="Q32" s="177"/>
      <c r="R32" s="177"/>
      <c r="T32" s="132"/>
      <c r="U32" s="7"/>
    </row>
    <row r="33">
      <c r="A33" s="14"/>
      <c r="B33" s="135">
        <f t="shared" si="9"/>
        <v>12</v>
      </c>
      <c r="C33" s="156" t="str">
        <f t="shared" si="10"/>
        <v> Boyles</v>
      </c>
      <c r="D33" s="197">
        <v>1.0</v>
      </c>
      <c r="E33" s="205"/>
      <c r="F33" s="177"/>
      <c r="G33" s="177"/>
      <c r="H33" s="177"/>
      <c r="I33" s="177"/>
      <c r="K33" s="135">
        <f t="shared" si="11"/>
        <v>12</v>
      </c>
      <c r="L33" s="156" t="str">
        <f t="shared" si="12"/>
        <v> Kulkarni</v>
      </c>
      <c r="M33" s="187">
        <v>1.0</v>
      </c>
      <c r="N33" s="201"/>
      <c r="O33" s="177"/>
      <c r="P33" s="177"/>
      <c r="Q33" s="177"/>
      <c r="R33" s="177"/>
      <c r="T33" s="132"/>
      <c r="U33" s="7"/>
    </row>
    <row r="34">
      <c r="A34" s="8"/>
      <c r="B34" s="129">
        <f t="shared" si="9"/>
        <v>13</v>
      </c>
      <c r="C34" s="156" t="str">
        <f t="shared" si="10"/>
        <v> Miller</v>
      </c>
      <c r="D34" s="197">
        <v>1.0</v>
      </c>
      <c r="E34" s="205"/>
      <c r="F34" s="177"/>
      <c r="G34" s="177"/>
      <c r="H34" s="177"/>
      <c r="I34" s="177"/>
      <c r="K34" s="129">
        <f t="shared" si="11"/>
        <v>13</v>
      </c>
      <c r="L34" s="156" t="str">
        <f t="shared" si="12"/>
        <v> Byrne</v>
      </c>
      <c r="M34" s="208"/>
      <c r="N34" s="188">
        <v>1.0</v>
      </c>
      <c r="O34" s="177"/>
      <c r="P34" s="177"/>
      <c r="Q34" s="177"/>
      <c r="R34" s="177"/>
      <c r="T34" s="132"/>
      <c r="U34" s="7"/>
    </row>
    <row r="35">
      <c r="A35" s="14"/>
      <c r="B35" s="135">
        <f t="shared" si="9"/>
        <v>13</v>
      </c>
      <c r="C35" s="156" t="str">
        <f t="shared" si="10"/>
        <v> Boyles</v>
      </c>
      <c r="D35" s="208"/>
      <c r="E35" s="188">
        <v>1.0</v>
      </c>
      <c r="F35" s="177"/>
      <c r="G35" s="177"/>
      <c r="H35" s="177"/>
      <c r="I35" s="177"/>
      <c r="K35" s="135">
        <f t="shared" si="11"/>
        <v>13</v>
      </c>
      <c r="L35" s="156" t="str">
        <f t="shared" si="12"/>
        <v> Kulkarni</v>
      </c>
      <c r="M35" s="197">
        <v>1.0</v>
      </c>
      <c r="N35" s="205"/>
      <c r="O35" s="177"/>
      <c r="P35" s="177"/>
      <c r="Q35" s="177"/>
      <c r="R35" s="177"/>
      <c r="T35" s="132"/>
      <c r="U35" s="7"/>
    </row>
    <row r="36">
      <c r="A36" s="8"/>
      <c r="B36" s="129">
        <f t="shared" si="9"/>
        <v>14</v>
      </c>
      <c r="C36" s="156" t="str">
        <f t="shared" si="10"/>
        <v> Miller</v>
      </c>
      <c r="D36" s="208"/>
      <c r="E36" s="205"/>
      <c r="F36" s="177"/>
      <c r="G36" s="177"/>
      <c r="H36" s="177"/>
      <c r="I36" s="177"/>
      <c r="K36" s="129">
        <f t="shared" si="11"/>
        <v>14</v>
      </c>
      <c r="L36" s="156" t="str">
        <f t="shared" si="12"/>
        <v> Byrne</v>
      </c>
      <c r="M36" s="208"/>
      <c r="N36" s="205"/>
      <c r="O36" s="177"/>
      <c r="P36" s="177"/>
      <c r="Q36" s="177"/>
      <c r="R36" s="177"/>
      <c r="T36" s="132"/>
      <c r="U36" s="7"/>
    </row>
    <row r="37">
      <c r="A37" s="14"/>
      <c r="B37" s="135">
        <f t="shared" si="9"/>
        <v>14</v>
      </c>
      <c r="C37" s="156" t="str">
        <f t="shared" si="10"/>
        <v> Boyles</v>
      </c>
      <c r="D37" s="208"/>
      <c r="E37" s="188">
        <v>1.0</v>
      </c>
      <c r="F37" s="177"/>
      <c r="G37" s="177"/>
      <c r="H37" s="177"/>
      <c r="I37" s="177"/>
      <c r="K37" s="135">
        <f t="shared" si="11"/>
        <v>14</v>
      </c>
      <c r="L37" s="156" t="str">
        <f t="shared" si="12"/>
        <v> Kulkarni</v>
      </c>
      <c r="M37" s="208"/>
      <c r="N37" s="188">
        <v>1.0</v>
      </c>
      <c r="O37" s="177"/>
      <c r="P37" s="177"/>
      <c r="Q37" s="177"/>
      <c r="R37" s="177"/>
      <c r="T37" s="132"/>
      <c r="U37" s="7"/>
    </row>
    <row r="38">
      <c r="A38" s="8"/>
      <c r="B38" s="129">
        <f t="shared" si="9"/>
        <v>15</v>
      </c>
      <c r="C38" s="156" t="str">
        <f t="shared" si="10"/>
        <v> Miller</v>
      </c>
      <c r="D38" s="208"/>
      <c r="E38" s="205"/>
      <c r="F38" s="177"/>
      <c r="G38" s="177"/>
      <c r="H38" s="177"/>
      <c r="I38" s="177"/>
      <c r="K38" s="129">
        <f t="shared" si="11"/>
        <v>15</v>
      </c>
      <c r="L38" s="156" t="str">
        <f t="shared" si="12"/>
        <v> Byrne</v>
      </c>
      <c r="M38" s="208"/>
      <c r="N38" s="205"/>
      <c r="O38" s="177"/>
      <c r="P38" s="177"/>
      <c r="Q38" s="177"/>
      <c r="R38" s="177"/>
      <c r="T38" s="132"/>
      <c r="U38" s="7"/>
    </row>
    <row r="39">
      <c r="A39" s="14"/>
      <c r="B39" s="135">
        <f t="shared" si="9"/>
        <v>15</v>
      </c>
      <c r="C39" s="156" t="str">
        <f t="shared" si="10"/>
        <v> Boyles</v>
      </c>
      <c r="D39" s="197">
        <v>1.0</v>
      </c>
      <c r="E39" s="205"/>
      <c r="F39" s="177"/>
      <c r="G39" s="177"/>
      <c r="H39" s="177"/>
      <c r="I39" s="177"/>
      <c r="K39" s="135">
        <f t="shared" si="11"/>
        <v>15</v>
      </c>
      <c r="L39" s="156" t="str">
        <f t="shared" si="12"/>
        <v> Kulkarni</v>
      </c>
      <c r="M39" s="208"/>
      <c r="N39" s="205"/>
      <c r="O39" s="177"/>
      <c r="P39" s="177"/>
      <c r="Q39" s="177"/>
      <c r="R39" s="177"/>
      <c r="T39" s="132"/>
      <c r="U39" s="7"/>
    </row>
    <row r="40">
      <c r="A40" s="8"/>
      <c r="B40" s="129">
        <f t="shared" si="9"/>
        <v>16</v>
      </c>
      <c r="C40" s="156" t="str">
        <f t="shared" si="10"/>
        <v> Miller</v>
      </c>
      <c r="D40" s="180"/>
      <c r="E40" s="179"/>
      <c r="F40" s="177"/>
      <c r="G40" s="177"/>
      <c r="H40" s="177"/>
      <c r="I40" s="177"/>
      <c r="K40" s="129">
        <f t="shared" si="11"/>
        <v>16</v>
      </c>
      <c r="L40" s="156" t="str">
        <f t="shared" si="12"/>
        <v> Byrne</v>
      </c>
      <c r="M40" s="208"/>
      <c r="N40" s="205"/>
      <c r="O40" s="177"/>
      <c r="P40" s="177"/>
      <c r="Q40" s="177"/>
      <c r="R40" s="177"/>
      <c r="T40" s="132"/>
      <c r="U40" s="7"/>
    </row>
    <row r="41">
      <c r="A41" s="14"/>
      <c r="B41" s="135">
        <f t="shared" si="9"/>
        <v>16</v>
      </c>
      <c r="C41" s="156" t="str">
        <f t="shared" si="10"/>
        <v> Boyles</v>
      </c>
      <c r="D41" s="180"/>
      <c r="E41" s="181"/>
      <c r="F41" s="177"/>
      <c r="G41" s="177"/>
      <c r="H41" s="177"/>
      <c r="I41" s="177"/>
      <c r="K41" s="135">
        <f t="shared" si="11"/>
        <v>16</v>
      </c>
      <c r="L41" s="156" t="str">
        <f t="shared" si="12"/>
        <v> Kulkarni</v>
      </c>
      <c r="M41" s="206"/>
      <c r="N41" s="201"/>
      <c r="O41" s="177"/>
      <c r="P41" s="177"/>
      <c r="Q41" s="177"/>
      <c r="R41" s="177"/>
      <c r="T41" s="132"/>
      <c r="U41" s="7"/>
    </row>
    <row r="42">
      <c r="A42" s="8"/>
      <c r="B42" s="129">
        <f t="shared" si="9"/>
        <v>17</v>
      </c>
      <c r="C42" s="156" t="str">
        <f t="shared" si="10"/>
        <v> Miller</v>
      </c>
      <c r="D42" s="180"/>
      <c r="E42" s="181"/>
      <c r="F42" s="177"/>
      <c r="G42" s="177"/>
      <c r="H42" s="177"/>
      <c r="I42" s="177"/>
      <c r="K42" s="129">
        <f t="shared" si="11"/>
        <v>17</v>
      </c>
      <c r="L42" s="156" t="str">
        <f t="shared" si="12"/>
        <v> Byrne</v>
      </c>
      <c r="M42" s="208"/>
      <c r="N42" s="205"/>
      <c r="O42" s="177"/>
      <c r="P42" s="177"/>
      <c r="Q42" s="177"/>
      <c r="R42" s="177"/>
      <c r="T42" s="132"/>
      <c r="U42" s="7"/>
    </row>
    <row r="43">
      <c r="A43" s="14"/>
      <c r="B43" s="135">
        <f t="shared" si="9"/>
        <v>17</v>
      </c>
      <c r="C43" s="156" t="str">
        <f t="shared" si="10"/>
        <v> Boyles</v>
      </c>
      <c r="D43" s="178"/>
      <c r="E43" s="179"/>
      <c r="F43" s="177"/>
      <c r="G43" s="177"/>
      <c r="H43" s="177"/>
      <c r="I43" s="177"/>
      <c r="K43" s="135">
        <f t="shared" si="11"/>
        <v>17</v>
      </c>
      <c r="L43" s="156" t="str">
        <f t="shared" si="12"/>
        <v> Kulkarni</v>
      </c>
      <c r="M43" s="180"/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Miller</v>
      </c>
      <c r="D44" s="180"/>
      <c r="E44" s="181"/>
      <c r="F44" s="177"/>
      <c r="G44" s="177"/>
      <c r="H44" s="177"/>
      <c r="I44" s="177"/>
      <c r="K44" s="129">
        <f t="shared" si="11"/>
        <v>18</v>
      </c>
      <c r="L44" s="156" t="str">
        <f t="shared" si="12"/>
        <v> Byrne</v>
      </c>
      <c r="M44" s="180"/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Boyles</v>
      </c>
      <c r="D45" s="180"/>
      <c r="E45" s="181"/>
      <c r="F45" s="177"/>
      <c r="G45" s="177"/>
      <c r="H45" s="177"/>
      <c r="I45" s="177"/>
      <c r="K45" s="129">
        <f t="shared" si="11"/>
        <v>18</v>
      </c>
      <c r="L45" s="156" t="str">
        <f t="shared" si="12"/>
        <v> Kulkarni</v>
      </c>
      <c r="M45" s="180"/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Miller</v>
      </c>
      <c r="D46" s="180"/>
      <c r="E46" s="181"/>
      <c r="F46" s="177"/>
      <c r="G46" s="177"/>
      <c r="H46" s="177"/>
      <c r="I46" s="177"/>
      <c r="K46" s="135">
        <f t="shared" si="11"/>
        <v>19</v>
      </c>
      <c r="L46" s="156" t="str">
        <f t="shared" si="12"/>
        <v> Byrne</v>
      </c>
      <c r="M46" s="180"/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Boyles</v>
      </c>
      <c r="D47" s="180"/>
      <c r="E47" s="181"/>
      <c r="F47" s="177"/>
      <c r="G47" s="177"/>
      <c r="H47" s="177"/>
      <c r="I47" s="177"/>
      <c r="K47" s="129">
        <f t="shared" si="11"/>
        <v>19</v>
      </c>
      <c r="L47" s="156" t="str">
        <f t="shared" si="12"/>
        <v> Kulkarni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Miller</v>
      </c>
      <c r="D48" s="180"/>
      <c r="E48" s="181"/>
      <c r="F48" s="177"/>
      <c r="G48" s="177"/>
      <c r="H48" s="177"/>
      <c r="I48" s="177"/>
      <c r="K48" s="135">
        <f t="shared" si="11"/>
        <v>20</v>
      </c>
      <c r="L48" s="156" t="str">
        <f t="shared" si="12"/>
        <v> Byrne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Boyles</v>
      </c>
      <c r="D49" s="178"/>
      <c r="E49" s="179"/>
      <c r="F49" s="177"/>
      <c r="G49" s="177"/>
      <c r="H49" s="177"/>
      <c r="I49" s="177"/>
      <c r="K49" s="129">
        <f t="shared" si="11"/>
        <v>20</v>
      </c>
      <c r="L49" s="156" t="str">
        <f t="shared" si="12"/>
        <v> Kulkarni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Miller</v>
      </c>
      <c r="D50" s="180"/>
      <c r="E50" s="181"/>
      <c r="F50" s="177"/>
      <c r="G50" s="177"/>
      <c r="H50" s="177"/>
      <c r="I50" s="177"/>
      <c r="K50" s="129">
        <f t="shared" si="11"/>
        <v>21</v>
      </c>
      <c r="L50" s="156" t="str">
        <f t="shared" si="12"/>
        <v> Byrne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Boyles</v>
      </c>
      <c r="D51" s="180"/>
      <c r="E51" s="181"/>
      <c r="F51" s="177"/>
      <c r="G51" s="177"/>
      <c r="H51" s="177"/>
      <c r="I51" s="177"/>
      <c r="K51" s="135">
        <f t="shared" si="11"/>
        <v>21</v>
      </c>
      <c r="L51" s="156" t="str">
        <f t="shared" si="12"/>
        <v> Kulkarni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Miller</v>
      </c>
      <c r="D52" s="178"/>
      <c r="E52" s="181"/>
      <c r="F52" s="177"/>
      <c r="G52" s="177"/>
      <c r="H52" s="177"/>
      <c r="I52" s="177"/>
      <c r="K52" s="129">
        <f t="shared" si="11"/>
        <v>22</v>
      </c>
      <c r="L52" s="156" t="str">
        <f t="shared" si="12"/>
        <v> Byrne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Boyles</v>
      </c>
      <c r="D53" s="178"/>
      <c r="E53" s="181"/>
      <c r="F53" s="177"/>
      <c r="G53" s="177"/>
      <c r="H53" s="177"/>
      <c r="I53" s="177"/>
      <c r="K53" s="135">
        <f t="shared" si="11"/>
        <v>22</v>
      </c>
      <c r="L53" s="156" t="str">
        <f t="shared" si="12"/>
        <v> Kulkarni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Miller</v>
      </c>
      <c r="D54" s="178"/>
      <c r="E54" s="181"/>
      <c r="F54" s="177"/>
      <c r="G54" s="177"/>
      <c r="H54" s="177"/>
      <c r="I54" s="177"/>
      <c r="K54" s="129">
        <f t="shared" si="11"/>
        <v>23</v>
      </c>
      <c r="L54" s="156" t="str">
        <f t="shared" si="12"/>
        <v> Byrne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Boyles</v>
      </c>
      <c r="D55" s="178"/>
      <c r="E55" s="181"/>
      <c r="K55" s="135">
        <f t="shared" si="11"/>
        <v>23</v>
      </c>
      <c r="L55" s="156" t="str">
        <f t="shared" si="12"/>
        <v> Kulkarni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Miller</v>
      </c>
      <c r="D56" s="178"/>
      <c r="E56" s="181"/>
      <c r="K56" s="129">
        <f t="shared" si="11"/>
        <v>24</v>
      </c>
      <c r="L56" s="156" t="str">
        <f t="shared" si="12"/>
        <v> Byrne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Boyles</v>
      </c>
      <c r="D57" s="178"/>
      <c r="E57" s="181"/>
      <c r="K57" s="129">
        <f t="shared" si="11"/>
        <v>24</v>
      </c>
      <c r="L57" s="156" t="str">
        <f t="shared" si="12"/>
        <v> Kulkarni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Miller</v>
      </c>
      <c r="D58" s="178"/>
      <c r="E58" s="181"/>
      <c r="K58" s="135">
        <f t="shared" si="11"/>
        <v>25</v>
      </c>
      <c r="L58" s="156" t="str">
        <f t="shared" si="12"/>
        <v> Byrne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Boyles</v>
      </c>
      <c r="D59" s="178"/>
      <c r="E59" s="181"/>
      <c r="K59" s="129">
        <f t="shared" si="11"/>
        <v>25</v>
      </c>
      <c r="L59" s="156" t="str">
        <f t="shared" si="12"/>
        <v> Kulkarni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Miller</v>
      </c>
      <c r="D60" s="178"/>
      <c r="E60" s="181"/>
      <c r="K60" s="135">
        <f t="shared" si="11"/>
        <v>26</v>
      </c>
      <c r="L60" s="156" t="str">
        <f t="shared" si="12"/>
        <v> Byrne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Boyles</v>
      </c>
      <c r="D61" s="178"/>
      <c r="E61" s="181"/>
      <c r="K61" s="129">
        <f t="shared" si="11"/>
        <v>26</v>
      </c>
      <c r="L61" s="156" t="str">
        <f t="shared" si="12"/>
        <v> Kulkarni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Miller</v>
      </c>
      <c r="D62" s="178"/>
      <c r="E62" s="181"/>
      <c r="K62" s="135">
        <f t="shared" si="11"/>
        <v>27</v>
      </c>
      <c r="L62" s="156" t="str">
        <f t="shared" si="12"/>
        <v> Byrne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Boyles</v>
      </c>
      <c r="D63" s="178"/>
      <c r="E63" s="181"/>
      <c r="K63" s="129">
        <f t="shared" si="11"/>
        <v>27</v>
      </c>
      <c r="L63" s="156" t="str">
        <f t="shared" si="12"/>
        <v> Kulkarni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Miller</v>
      </c>
      <c r="D64" s="178"/>
      <c r="E64" s="181"/>
      <c r="K64" s="135">
        <f t="shared" si="11"/>
        <v>28</v>
      </c>
      <c r="L64" s="156" t="str">
        <f t="shared" si="12"/>
        <v> Byrne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Boyles</v>
      </c>
      <c r="D65" s="178"/>
      <c r="E65" s="181"/>
      <c r="K65" s="129">
        <f t="shared" si="11"/>
        <v>28</v>
      </c>
      <c r="L65" s="156" t="str">
        <f t="shared" si="12"/>
        <v> Kulkarni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Miller</v>
      </c>
      <c r="D66" s="178"/>
      <c r="E66" s="181"/>
      <c r="K66" s="135">
        <f t="shared" si="11"/>
        <v>29</v>
      </c>
      <c r="L66" s="156" t="str">
        <f t="shared" si="12"/>
        <v> Byrne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Boyles</v>
      </c>
      <c r="D67" s="178"/>
      <c r="E67" s="181"/>
      <c r="K67" s="135">
        <f t="shared" si="11"/>
        <v>29</v>
      </c>
      <c r="L67" s="156" t="str">
        <f t="shared" si="12"/>
        <v> Kulkarni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Miller</v>
      </c>
      <c r="D68" s="178"/>
      <c r="E68" s="181"/>
      <c r="K68" s="135">
        <f t="shared" si="11"/>
        <v>30</v>
      </c>
      <c r="L68" s="156" t="str">
        <f t="shared" si="12"/>
        <v> Byrne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Boyles</v>
      </c>
      <c r="D69" s="178"/>
      <c r="E69" s="181"/>
      <c r="K69" s="135">
        <f t="shared" si="11"/>
        <v>30</v>
      </c>
      <c r="L69" s="156" t="str">
        <f t="shared" si="12"/>
        <v> Kulkarni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Miller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Byrne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Boyles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Kulkarni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Miller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Byrne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Boyles</v>
      </c>
      <c r="D73" s="178"/>
      <c r="E73" s="181"/>
      <c r="K73" s="129">
        <v>32.0</v>
      </c>
      <c r="L73" s="156" t="str">
        <f t="shared" si="12"/>
        <v> Kulkarni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Miller</v>
      </c>
      <c r="D74" s="192"/>
      <c r="E74" s="181"/>
      <c r="K74" s="129">
        <v>33.0</v>
      </c>
      <c r="L74" s="156" t="str">
        <f t="shared" si="12"/>
        <v> Byrne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Boyles</v>
      </c>
      <c r="D75" s="178"/>
      <c r="E75" s="181"/>
      <c r="K75" s="129">
        <v>33.0</v>
      </c>
      <c r="L75" s="156" t="str">
        <f t="shared" si="12"/>
        <v> Kulkarni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Miller</v>
      </c>
      <c r="D76" s="178"/>
      <c r="E76" s="181"/>
      <c r="K76" s="129">
        <v>34.0</v>
      </c>
      <c r="L76" s="156" t="str">
        <f t="shared" si="12"/>
        <v> Byrne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Boyles</v>
      </c>
      <c r="D77" s="178"/>
      <c r="E77" s="181"/>
      <c r="K77" s="129">
        <v>34.0</v>
      </c>
      <c r="L77" s="156" t="str">
        <f t="shared" si="12"/>
        <v> Kulkarni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Miller</v>
      </c>
      <c r="D78" s="178"/>
      <c r="E78" s="181"/>
      <c r="K78" s="129">
        <v>35.0</v>
      </c>
      <c r="L78" s="156" t="str">
        <f t="shared" si="12"/>
        <v> Byrne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Boyles</v>
      </c>
      <c r="D79" s="178"/>
      <c r="E79" s="181"/>
      <c r="K79" s="129">
        <v>35.0</v>
      </c>
      <c r="L79" s="156" t="str">
        <f t="shared" si="12"/>
        <v> Kulkarni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Miller</v>
      </c>
      <c r="D80" s="178"/>
      <c r="E80" s="181"/>
      <c r="K80" s="129">
        <v>36.0</v>
      </c>
      <c r="L80" s="156" t="str">
        <f t="shared" si="12"/>
        <v> Byrne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Boyles</v>
      </c>
      <c r="D81" s="178"/>
      <c r="E81" s="181"/>
      <c r="K81" s="129">
        <v>36.0</v>
      </c>
      <c r="L81" s="156" t="str">
        <f t="shared" si="12"/>
        <v> Kulkarni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Miller</v>
      </c>
      <c r="D82" s="178"/>
      <c r="E82" s="181"/>
      <c r="K82" s="129">
        <v>37.0</v>
      </c>
      <c r="L82" s="156" t="str">
        <f t="shared" si="12"/>
        <v> Byrne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Boyles</v>
      </c>
      <c r="D83" s="178"/>
      <c r="E83" s="181"/>
      <c r="K83" s="129">
        <v>37.0</v>
      </c>
      <c r="L83" s="156" t="str">
        <f t="shared" si="12"/>
        <v> Kulkarni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Miller</v>
      </c>
      <c r="D84" s="178"/>
      <c r="E84" s="181"/>
      <c r="K84" s="129">
        <v>38.0</v>
      </c>
      <c r="L84" s="156" t="str">
        <f t="shared" si="12"/>
        <v> Byrne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Boyles</v>
      </c>
      <c r="D85" s="178"/>
      <c r="E85" s="181"/>
      <c r="K85" s="129">
        <v>38.0</v>
      </c>
      <c r="L85" s="156" t="str">
        <f t="shared" si="12"/>
        <v> Kulkarni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Miller</v>
      </c>
      <c r="D86" s="178"/>
      <c r="E86" s="181"/>
      <c r="K86" s="129">
        <v>39.0</v>
      </c>
      <c r="L86" s="156" t="str">
        <f t="shared" si="12"/>
        <v> Byrne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Boyles</v>
      </c>
      <c r="D87" s="178"/>
      <c r="E87" s="181"/>
      <c r="K87" s="129">
        <v>39.0</v>
      </c>
      <c r="L87" s="156" t="str">
        <f t="shared" si="12"/>
        <v> Kulkarni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Miller</v>
      </c>
      <c r="D88" s="178"/>
      <c r="E88" s="181"/>
      <c r="K88" s="129">
        <v>40.0</v>
      </c>
      <c r="L88" s="156" t="str">
        <f t="shared" si="12"/>
        <v> Byrne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Boyles</v>
      </c>
      <c r="D89" s="178"/>
      <c r="E89" s="181"/>
      <c r="K89" s="129">
        <v>40.0</v>
      </c>
      <c r="L89" s="156" t="str">
        <f t="shared" si="12"/>
        <v> Kulkarni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0.13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218" t="s">
        <v>178</v>
      </c>
      <c r="C3" s="127" t="s">
        <v>114</v>
      </c>
      <c r="D3" s="189">
        <f t="shared" ref="D3:J3" si="1">SUMPRODUCT(D10:D90,MOD(ROW(D10:D90),2)=0)</f>
        <v>14</v>
      </c>
      <c r="E3" s="189">
        <f t="shared" si="1"/>
        <v>4</v>
      </c>
      <c r="F3" s="189">
        <f t="shared" si="1"/>
        <v>2</v>
      </c>
      <c r="G3" s="189">
        <f t="shared" si="1"/>
        <v>2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218" t="s">
        <v>178</v>
      </c>
      <c r="L3" s="130" t="s">
        <v>112</v>
      </c>
      <c r="M3" s="189">
        <f t="shared" ref="M3:S3" si="2">SUMPRODUCT(M10:M90,MOD(ROW(M10:M90),2)=0)</f>
        <v>13</v>
      </c>
      <c r="N3" s="189">
        <f t="shared" si="2"/>
        <v>4</v>
      </c>
      <c r="O3" s="189">
        <f t="shared" si="2"/>
        <v>0</v>
      </c>
      <c r="P3" s="189">
        <f t="shared" si="2"/>
        <v>0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218" t="s">
        <v>179</v>
      </c>
      <c r="C4" s="127" t="s">
        <v>103</v>
      </c>
      <c r="D4" s="191">
        <f t="shared" ref="D4:J4" si="3">SUMPRODUCT(D10:D90,MOD(ROW(D10:D90),2))</f>
        <v>12</v>
      </c>
      <c r="E4" s="191">
        <f t="shared" si="3"/>
        <v>5</v>
      </c>
      <c r="F4" s="191">
        <f t="shared" si="3"/>
        <v>0</v>
      </c>
      <c r="G4" s="191">
        <f t="shared" si="3"/>
        <v>1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218" t="s">
        <v>179</v>
      </c>
      <c r="L4" s="127" t="s">
        <v>94</v>
      </c>
      <c r="M4" s="191">
        <f t="shared" ref="M4:S4" si="4">SUMPRODUCT(M10:M90,MOD(ROW(M10:M90),2))</f>
        <v>10</v>
      </c>
      <c r="N4" s="191">
        <f t="shared" si="4"/>
        <v>6</v>
      </c>
      <c r="O4" s="191">
        <f t="shared" si="4"/>
        <v>0</v>
      </c>
      <c r="P4" s="191">
        <f t="shared" si="4"/>
        <v>0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Montero %</v>
      </c>
      <c r="D5" s="137">
        <f t="shared" ref="D5:D6" si="6">IFERROR((E3/(E3+D3)),0)</f>
        <v>0.2222222222</v>
      </c>
      <c r="K5" s="135"/>
      <c r="L5" s="136" t="str">
        <f t="shared" ref="L5:L6" si="7">IFERROR((L10 &amp;" %"), "")</f>
        <v> Tate %</v>
      </c>
      <c r="M5" s="137">
        <f t="shared" ref="M5:M6" si="8">IFERROR((N3/(N3+M3)),0)</f>
        <v>0.2352941176</v>
      </c>
      <c r="S5" s="132"/>
      <c r="T5" s="132"/>
      <c r="U5" s="7"/>
    </row>
    <row r="6">
      <c r="A6" s="14"/>
      <c r="B6" s="138"/>
      <c r="C6" s="139" t="str">
        <f t="shared" si="5"/>
        <v> Bonnstetter %</v>
      </c>
      <c r="D6" s="140">
        <f t="shared" si="6"/>
        <v>0.2941176471</v>
      </c>
      <c r="E6" s="141"/>
      <c r="F6" s="141"/>
      <c r="G6" s="141"/>
      <c r="H6" s="141"/>
      <c r="I6" s="141"/>
      <c r="J6" s="141"/>
      <c r="K6" s="138"/>
      <c r="L6" s="139" t="str">
        <f t="shared" si="7"/>
        <v> Pearlmutter %</v>
      </c>
      <c r="M6" s="142">
        <f t="shared" si="8"/>
        <v>0.375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Montero")</f>
        <v> Montero</v>
      </c>
      <c r="D10" s="180">
        <v>1.0</v>
      </c>
      <c r="E10" s="179"/>
      <c r="F10" s="136"/>
      <c r="G10" s="136"/>
      <c r="K10" s="129">
        <v>1.0</v>
      </c>
      <c r="L10" s="136" t="str">
        <f>IFERROR(__xludf.DUMMYFUNCTION("REGEXEXTRACT(L3, ""( .*)+"")")," Tate")</f>
        <v> Tate</v>
      </c>
      <c r="M10" s="180">
        <v>1.0</v>
      </c>
      <c r="N10" s="179"/>
      <c r="P10" s="186"/>
      <c r="T10" s="132"/>
      <c r="U10" s="7"/>
    </row>
    <row r="11">
      <c r="A11" s="8"/>
      <c r="B11" s="129">
        <v>1.0</v>
      </c>
      <c r="C11" s="136" t="str">
        <f>IFERROR(__xludf.DUMMYFUNCTION("REGEXEXTRACT(C4, ""( .*)+"")")," Bonnstetter")</f>
        <v> Bonnstetter</v>
      </c>
      <c r="D11" s="180"/>
      <c r="E11" s="179">
        <v>1.0</v>
      </c>
      <c r="K11" s="129">
        <v>1.0</v>
      </c>
      <c r="L11" s="136" t="str">
        <f>IFERROR(__xludf.DUMMYFUNCTION("REGEXEXTRACT(L4, ""( .*)+"")")," Pearlmutter")</f>
        <v> Pearlmutter</v>
      </c>
      <c r="M11" s="180">
        <v>1.0</v>
      </c>
      <c r="N11" s="179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Montero</v>
      </c>
      <c r="D12" s="180"/>
      <c r="E12" s="179">
        <v>1.0</v>
      </c>
      <c r="K12" s="129">
        <f t="shared" ref="K12:K69" si="11">K10+1</f>
        <v>2</v>
      </c>
      <c r="L12" s="156" t="str">
        <f t="shared" ref="L12:L89" si="12">L10</f>
        <v> Tate</v>
      </c>
      <c r="M12" s="180"/>
      <c r="N12" s="179">
        <v>1.0</v>
      </c>
      <c r="T12" s="132"/>
      <c r="U12" s="7"/>
    </row>
    <row r="13">
      <c r="A13" s="14"/>
      <c r="B13" s="135">
        <f t="shared" si="9"/>
        <v>2</v>
      </c>
      <c r="C13" s="156" t="str">
        <f t="shared" si="10"/>
        <v> Bonnstetter</v>
      </c>
      <c r="D13" s="180">
        <v>1.0</v>
      </c>
      <c r="E13" s="179"/>
      <c r="K13" s="135">
        <f t="shared" si="11"/>
        <v>2</v>
      </c>
      <c r="L13" s="156" t="str">
        <f t="shared" si="12"/>
        <v> Pearlmutter</v>
      </c>
      <c r="M13" s="180">
        <v>1.0</v>
      </c>
      <c r="N13" s="181"/>
      <c r="T13" s="132"/>
      <c r="U13" s="7"/>
    </row>
    <row r="14">
      <c r="A14" s="8"/>
      <c r="B14" s="129">
        <f t="shared" si="9"/>
        <v>3</v>
      </c>
      <c r="C14" s="156" t="str">
        <f t="shared" si="10"/>
        <v> Montero</v>
      </c>
      <c r="D14" s="180">
        <v>1.0</v>
      </c>
      <c r="E14" s="179"/>
      <c r="K14" s="129">
        <f t="shared" si="11"/>
        <v>3</v>
      </c>
      <c r="L14" s="156" t="str">
        <f t="shared" si="12"/>
        <v> Tate</v>
      </c>
      <c r="M14" s="180"/>
      <c r="N14" s="179">
        <v>1.0</v>
      </c>
      <c r="T14" s="132"/>
      <c r="U14" s="7"/>
    </row>
    <row r="15">
      <c r="A15" s="14"/>
      <c r="B15" s="135">
        <f t="shared" si="9"/>
        <v>3</v>
      </c>
      <c r="C15" s="156" t="str">
        <f t="shared" si="10"/>
        <v> Bonnstetter</v>
      </c>
      <c r="D15" s="180">
        <v>1.0</v>
      </c>
      <c r="E15" s="179"/>
      <c r="K15" s="135">
        <f t="shared" si="11"/>
        <v>3</v>
      </c>
      <c r="L15" s="156" t="str">
        <f t="shared" si="12"/>
        <v> Pearlmutter</v>
      </c>
      <c r="M15" s="180">
        <v>1.0</v>
      </c>
      <c r="N15" s="179"/>
      <c r="T15" s="132"/>
      <c r="U15" s="7"/>
    </row>
    <row r="16">
      <c r="A16" s="8"/>
      <c r="B16" s="129">
        <f t="shared" si="9"/>
        <v>4</v>
      </c>
      <c r="C16" s="156" t="str">
        <f t="shared" si="10"/>
        <v> Montero</v>
      </c>
      <c r="D16" s="180">
        <v>1.0</v>
      </c>
      <c r="E16" s="181"/>
      <c r="G16" s="136">
        <v>1.0</v>
      </c>
      <c r="K16" s="129">
        <f t="shared" si="11"/>
        <v>4</v>
      </c>
      <c r="L16" s="156" t="str">
        <f t="shared" si="12"/>
        <v> Tate</v>
      </c>
      <c r="M16" s="180">
        <v>1.0</v>
      </c>
      <c r="N16" s="181"/>
      <c r="T16" s="132"/>
      <c r="U16" s="7"/>
    </row>
    <row r="17">
      <c r="A17" s="14"/>
      <c r="B17" s="135">
        <f t="shared" si="9"/>
        <v>4</v>
      </c>
      <c r="C17" s="156" t="str">
        <f t="shared" si="10"/>
        <v> Bonnstetter</v>
      </c>
      <c r="D17" s="180">
        <v>1.0</v>
      </c>
      <c r="E17" s="179"/>
      <c r="K17" s="135">
        <f t="shared" si="11"/>
        <v>4</v>
      </c>
      <c r="L17" s="156" t="str">
        <f t="shared" si="12"/>
        <v> Pearlmutter</v>
      </c>
      <c r="M17" s="180">
        <v>1.0</v>
      </c>
      <c r="N17" s="179"/>
      <c r="T17" s="132"/>
      <c r="U17" s="7"/>
    </row>
    <row r="18">
      <c r="A18" s="8"/>
      <c r="B18" s="129">
        <f t="shared" si="9"/>
        <v>5</v>
      </c>
      <c r="C18" s="156" t="str">
        <f t="shared" si="10"/>
        <v> Montero</v>
      </c>
      <c r="D18" s="180">
        <v>1.0</v>
      </c>
      <c r="E18" s="179"/>
      <c r="K18" s="129">
        <f t="shared" si="11"/>
        <v>5</v>
      </c>
      <c r="L18" s="156" t="str">
        <f t="shared" si="12"/>
        <v> Tate</v>
      </c>
      <c r="M18" s="180">
        <v>1.0</v>
      </c>
      <c r="N18" s="181"/>
      <c r="T18" s="132"/>
      <c r="U18" s="7"/>
    </row>
    <row r="19">
      <c r="A19" s="14"/>
      <c r="B19" s="135">
        <f t="shared" si="9"/>
        <v>5</v>
      </c>
      <c r="C19" s="156" t="str">
        <f t="shared" si="10"/>
        <v> Bonnstetter</v>
      </c>
      <c r="D19" s="180">
        <v>1.0</v>
      </c>
      <c r="E19" s="181"/>
      <c r="K19" s="135">
        <f t="shared" si="11"/>
        <v>5</v>
      </c>
      <c r="L19" s="156" t="str">
        <f t="shared" si="12"/>
        <v> Pearlmutter</v>
      </c>
      <c r="M19" s="180">
        <v>1.0</v>
      </c>
      <c r="N19" s="179"/>
      <c r="T19" s="132"/>
      <c r="U19" s="7"/>
    </row>
    <row r="20">
      <c r="A20" s="8"/>
      <c r="B20" s="129">
        <f t="shared" si="9"/>
        <v>6</v>
      </c>
      <c r="C20" s="156" t="str">
        <f t="shared" si="10"/>
        <v> Montero</v>
      </c>
      <c r="D20" s="178"/>
      <c r="E20" s="179">
        <v>1.0</v>
      </c>
      <c r="K20" s="129">
        <f t="shared" si="11"/>
        <v>6</v>
      </c>
      <c r="L20" s="156" t="str">
        <f t="shared" si="12"/>
        <v> Tate</v>
      </c>
      <c r="M20" s="180">
        <v>1.0</v>
      </c>
      <c r="N20" s="181"/>
      <c r="T20" s="132"/>
      <c r="U20" s="7"/>
    </row>
    <row r="21">
      <c r="A21" s="14"/>
      <c r="B21" s="135">
        <f t="shared" si="9"/>
        <v>6</v>
      </c>
      <c r="C21" s="156" t="str">
        <f t="shared" si="10"/>
        <v> Bonnstetter</v>
      </c>
      <c r="D21" s="180">
        <v>1.0</v>
      </c>
      <c r="E21" s="181"/>
      <c r="K21" s="135">
        <f t="shared" si="11"/>
        <v>6</v>
      </c>
      <c r="L21" s="156" t="str">
        <f t="shared" si="12"/>
        <v> Pearlmutter</v>
      </c>
      <c r="M21" s="180">
        <v>1.0</v>
      </c>
      <c r="N21" s="181"/>
      <c r="T21" s="132"/>
      <c r="U21" s="7"/>
    </row>
    <row r="22">
      <c r="A22" s="8"/>
      <c r="B22" s="129">
        <f t="shared" si="9"/>
        <v>7</v>
      </c>
      <c r="C22" s="156" t="str">
        <f t="shared" si="10"/>
        <v> Montero</v>
      </c>
      <c r="D22" s="180">
        <v>1.0</v>
      </c>
      <c r="E22" s="179"/>
      <c r="K22" s="129">
        <f t="shared" si="11"/>
        <v>7</v>
      </c>
      <c r="L22" s="156" t="str">
        <f t="shared" si="12"/>
        <v> Tate</v>
      </c>
      <c r="M22" s="180">
        <v>1.0</v>
      </c>
      <c r="N22" s="181"/>
      <c r="T22" s="132"/>
      <c r="U22" s="7"/>
    </row>
    <row r="23">
      <c r="A23" s="14"/>
      <c r="B23" s="135">
        <f t="shared" si="9"/>
        <v>7</v>
      </c>
      <c r="C23" s="156" t="str">
        <f t="shared" si="10"/>
        <v> Bonnstetter</v>
      </c>
      <c r="D23" s="180">
        <v>1.0</v>
      </c>
      <c r="E23" s="181"/>
      <c r="K23" s="135">
        <f t="shared" si="11"/>
        <v>7</v>
      </c>
      <c r="L23" s="156" t="str">
        <f t="shared" si="12"/>
        <v> Pearlmutter</v>
      </c>
      <c r="M23" s="180">
        <v>1.0</v>
      </c>
      <c r="N23" s="181"/>
      <c r="T23" s="132"/>
      <c r="U23" s="7"/>
    </row>
    <row r="24">
      <c r="A24" s="8"/>
      <c r="B24" s="129">
        <f t="shared" si="9"/>
        <v>8</v>
      </c>
      <c r="C24" s="156" t="str">
        <f t="shared" si="10"/>
        <v> Montero</v>
      </c>
      <c r="D24" s="180">
        <v>1.0</v>
      </c>
      <c r="E24" s="181"/>
      <c r="K24" s="129">
        <f t="shared" si="11"/>
        <v>8</v>
      </c>
      <c r="L24" s="156" t="str">
        <f t="shared" si="12"/>
        <v> Tate</v>
      </c>
      <c r="M24" s="180">
        <v>1.0</v>
      </c>
      <c r="N24" s="181"/>
      <c r="T24" s="132"/>
      <c r="U24" s="7"/>
    </row>
    <row r="25">
      <c r="A25" s="14"/>
      <c r="B25" s="135">
        <f t="shared" si="9"/>
        <v>8</v>
      </c>
      <c r="C25" s="156" t="str">
        <f t="shared" si="10"/>
        <v> Bonnstetter</v>
      </c>
      <c r="D25" s="180"/>
      <c r="E25" s="179">
        <v>1.0</v>
      </c>
      <c r="K25" s="135">
        <f t="shared" si="11"/>
        <v>8</v>
      </c>
      <c r="L25" s="156" t="str">
        <f t="shared" si="12"/>
        <v> Pearlmutter</v>
      </c>
      <c r="M25" s="178"/>
      <c r="N25" s="179"/>
      <c r="T25" s="132"/>
      <c r="U25" s="7"/>
    </row>
    <row r="26">
      <c r="A26" s="8"/>
      <c r="B26" s="129">
        <f t="shared" si="9"/>
        <v>9</v>
      </c>
      <c r="C26" s="156" t="str">
        <f t="shared" si="10"/>
        <v> Montero</v>
      </c>
      <c r="D26" s="180">
        <v>1.0</v>
      </c>
      <c r="E26" s="179"/>
      <c r="K26" s="129">
        <f t="shared" si="11"/>
        <v>9</v>
      </c>
      <c r="L26" s="156" t="str">
        <f t="shared" si="12"/>
        <v> Tate</v>
      </c>
      <c r="M26" s="180">
        <v>1.0</v>
      </c>
      <c r="N26" s="181"/>
      <c r="T26" s="132"/>
      <c r="U26" s="7"/>
    </row>
    <row r="27">
      <c r="A27" s="14"/>
      <c r="B27" s="135">
        <f t="shared" si="9"/>
        <v>9</v>
      </c>
      <c r="C27" s="156" t="str">
        <f t="shared" si="10"/>
        <v> Bonnstetter</v>
      </c>
      <c r="D27" s="180"/>
      <c r="E27" s="179">
        <v>1.0</v>
      </c>
      <c r="K27" s="135">
        <f t="shared" si="11"/>
        <v>9</v>
      </c>
      <c r="L27" s="156" t="str">
        <f t="shared" si="12"/>
        <v> Pearlmutter</v>
      </c>
      <c r="M27" s="180"/>
      <c r="N27" s="179">
        <v>1.0</v>
      </c>
      <c r="T27" s="132"/>
      <c r="U27" s="7"/>
    </row>
    <row r="28">
      <c r="A28" s="8"/>
      <c r="B28" s="129">
        <f t="shared" si="9"/>
        <v>10</v>
      </c>
      <c r="C28" s="156" t="str">
        <f t="shared" si="10"/>
        <v> Montero</v>
      </c>
      <c r="D28" s="180"/>
      <c r="E28" s="179">
        <v>1.0</v>
      </c>
      <c r="K28" s="129">
        <f t="shared" si="11"/>
        <v>10</v>
      </c>
      <c r="L28" s="156" t="str">
        <f t="shared" si="12"/>
        <v> Tate</v>
      </c>
      <c r="M28" s="180">
        <v>1.0</v>
      </c>
      <c r="N28" s="181"/>
      <c r="T28" s="132"/>
      <c r="U28" s="7"/>
    </row>
    <row r="29">
      <c r="A29" s="14"/>
      <c r="B29" s="135">
        <f t="shared" si="9"/>
        <v>10</v>
      </c>
      <c r="C29" s="156" t="str">
        <f t="shared" si="10"/>
        <v> Bonnstetter</v>
      </c>
      <c r="D29" s="180">
        <v>1.0</v>
      </c>
      <c r="E29" s="181"/>
      <c r="K29" s="135">
        <f t="shared" si="11"/>
        <v>10</v>
      </c>
      <c r="L29" s="156" t="str">
        <f t="shared" si="12"/>
        <v> Pearlmutter</v>
      </c>
      <c r="M29" s="180"/>
      <c r="N29" s="179">
        <v>1.0</v>
      </c>
      <c r="T29" s="132"/>
      <c r="U29" s="7"/>
    </row>
    <row r="30">
      <c r="A30" s="8"/>
      <c r="B30" s="129">
        <f t="shared" si="9"/>
        <v>11</v>
      </c>
      <c r="C30" s="156" t="str">
        <f t="shared" si="10"/>
        <v> Montero</v>
      </c>
      <c r="D30" s="180">
        <v>1.0</v>
      </c>
      <c r="E30" s="181"/>
      <c r="K30" s="129">
        <f t="shared" si="11"/>
        <v>11</v>
      </c>
      <c r="L30" s="156" t="str">
        <f t="shared" si="12"/>
        <v> Tate</v>
      </c>
      <c r="M30" s="180">
        <v>1.0</v>
      </c>
      <c r="N30" s="181"/>
      <c r="T30" s="132"/>
      <c r="U30" s="7"/>
    </row>
    <row r="31">
      <c r="A31" s="14"/>
      <c r="B31" s="135">
        <f t="shared" si="9"/>
        <v>11</v>
      </c>
      <c r="C31" s="156" t="str">
        <f t="shared" si="10"/>
        <v> Bonnstetter</v>
      </c>
      <c r="D31" s="180">
        <v>1.0</v>
      </c>
      <c r="E31" s="181"/>
      <c r="K31" s="135">
        <f t="shared" si="11"/>
        <v>11</v>
      </c>
      <c r="L31" s="156" t="str">
        <f t="shared" si="12"/>
        <v> Pearlmutter</v>
      </c>
      <c r="M31" s="180">
        <v>1.0</v>
      </c>
      <c r="N31" s="179"/>
      <c r="T31" s="132"/>
      <c r="U31" s="7"/>
    </row>
    <row r="32">
      <c r="A32" s="8"/>
      <c r="B32" s="129">
        <f t="shared" si="9"/>
        <v>12</v>
      </c>
      <c r="C32" s="156" t="str">
        <f t="shared" si="10"/>
        <v> Montero</v>
      </c>
      <c r="D32" s="180">
        <v>1.0</v>
      </c>
      <c r="E32" s="181"/>
      <c r="K32" s="129">
        <f t="shared" si="11"/>
        <v>12</v>
      </c>
      <c r="L32" s="156" t="str">
        <f t="shared" si="12"/>
        <v> Tate</v>
      </c>
      <c r="M32" s="180">
        <v>1.0</v>
      </c>
      <c r="N32" s="181"/>
      <c r="T32" s="132"/>
      <c r="U32" s="7"/>
    </row>
    <row r="33">
      <c r="A33" s="14"/>
      <c r="B33" s="135">
        <f t="shared" si="9"/>
        <v>12</v>
      </c>
      <c r="C33" s="156" t="str">
        <f t="shared" si="10"/>
        <v> Bonnstetter</v>
      </c>
      <c r="D33" s="180">
        <v>1.0</v>
      </c>
      <c r="E33" s="181"/>
      <c r="K33" s="135">
        <f t="shared" si="11"/>
        <v>12</v>
      </c>
      <c r="L33" s="156" t="str">
        <f t="shared" si="12"/>
        <v> Pearlmutter</v>
      </c>
      <c r="M33" s="178"/>
      <c r="N33" s="179">
        <v>1.0</v>
      </c>
      <c r="T33" s="132"/>
      <c r="U33" s="7"/>
    </row>
    <row r="34">
      <c r="A34" s="8"/>
      <c r="B34" s="129">
        <f t="shared" si="9"/>
        <v>13</v>
      </c>
      <c r="C34" s="156" t="str">
        <f t="shared" si="10"/>
        <v> Montero</v>
      </c>
      <c r="D34" s="180">
        <v>1.0</v>
      </c>
      <c r="E34" s="179"/>
      <c r="K34" s="129">
        <f t="shared" si="11"/>
        <v>13</v>
      </c>
      <c r="L34" s="156" t="str">
        <f t="shared" si="12"/>
        <v> Tate</v>
      </c>
      <c r="M34" s="180"/>
      <c r="N34" s="179">
        <v>1.0</v>
      </c>
      <c r="T34" s="132"/>
      <c r="U34" s="7"/>
    </row>
    <row r="35">
      <c r="A35" s="14"/>
      <c r="B35" s="135">
        <f t="shared" si="9"/>
        <v>13</v>
      </c>
      <c r="C35" s="156" t="str">
        <f t="shared" si="10"/>
        <v> Bonnstetter</v>
      </c>
      <c r="D35" s="180"/>
      <c r="E35" s="179">
        <v>1.0</v>
      </c>
      <c r="K35" s="135">
        <f t="shared" si="11"/>
        <v>13</v>
      </c>
      <c r="L35" s="156" t="str">
        <f t="shared" si="12"/>
        <v> Pearlmutter</v>
      </c>
      <c r="M35" s="180"/>
      <c r="N35" s="179">
        <v>1.0</v>
      </c>
      <c r="T35" s="132"/>
      <c r="U35" s="7"/>
    </row>
    <row r="36">
      <c r="A36" s="8"/>
      <c r="B36" s="129">
        <f t="shared" si="9"/>
        <v>14</v>
      </c>
      <c r="C36" s="156" t="str">
        <f t="shared" si="10"/>
        <v> Montero</v>
      </c>
      <c r="D36" s="180">
        <v>1.0</v>
      </c>
      <c r="E36" s="181"/>
      <c r="K36" s="129">
        <f t="shared" si="11"/>
        <v>14</v>
      </c>
      <c r="L36" s="156" t="str">
        <f t="shared" si="12"/>
        <v> Tate</v>
      </c>
      <c r="M36" s="180">
        <v>1.0</v>
      </c>
      <c r="N36" s="181"/>
      <c r="T36" s="132"/>
      <c r="U36" s="7"/>
    </row>
    <row r="37">
      <c r="A37" s="14"/>
      <c r="B37" s="135">
        <f t="shared" si="9"/>
        <v>14</v>
      </c>
      <c r="C37" s="156" t="str">
        <f t="shared" si="10"/>
        <v> Bonnstetter</v>
      </c>
      <c r="D37" s="180">
        <v>1.0</v>
      </c>
      <c r="E37" s="181"/>
      <c r="K37" s="135">
        <f t="shared" si="11"/>
        <v>14</v>
      </c>
      <c r="L37" s="156" t="str">
        <f t="shared" si="12"/>
        <v> Pearlmutter</v>
      </c>
      <c r="M37" s="180">
        <v>1.0</v>
      </c>
      <c r="N37" s="181"/>
      <c r="T37" s="132"/>
      <c r="U37" s="7"/>
    </row>
    <row r="38">
      <c r="A38" s="8"/>
      <c r="B38" s="129">
        <f t="shared" si="9"/>
        <v>15</v>
      </c>
      <c r="C38" s="156" t="str">
        <f t="shared" si="10"/>
        <v> Montero</v>
      </c>
      <c r="D38" s="180">
        <v>1.0</v>
      </c>
      <c r="E38" s="181"/>
      <c r="F38" s="136">
        <v>1.0</v>
      </c>
      <c r="K38" s="129">
        <f t="shared" si="11"/>
        <v>15</v>
      </c>
      <c r="L38" s="156" t="str">
        <f t="shared" si="12"/>
        <v> Tate</v>
      </c>
      <c r="M38" s="180">
        <v>1.0</v>
      </c>
      <c r="N38" s="181"/>
      <c r="T38" s="132"/>
      <c r="U38" s="7"/>
    </row>
    <row r="39">
      <c r="A39" s="14"/>
      <c r="B39" s="135">
        <f t="shared" si="9"/>
        <v>15</v>
      </c>
      <c r="C39" s="156" t="str">
        <f t="shared" si="10"/>
        <v> Bonnstetter</v>
      </c>
      <c r="D39" s="180">
        <v>1.0</v>
      </c>
      <c r="E39" s="181"/>
      <c r="K39" s="135">
        <f t="shared" si="11"/>
        <v>15</v>
      </c>
      <c r="L39" s="156" t="str">
        <f t="shared" si="12"/>
        <v> Pearlmutter</v>
      </c>
      <c r="M39" s="180"/>
      <c r="N39" s="179">
        <v>1.0</v>
      </c>
      <c r="T39" s="132"/>
      <c r="U39" s="7"/>
    </row>
    <row r="40">
      <c r="A40" s="8"/>
      <c r="B40" s="129">
        <f t="shared" si="9"/>
        <v>16</v>
      </c>
      <c r="C40" s="156" t="str">
        <f t="shared" si="10"/>
        <v> Montero</v>
      </c>
      <c r="D40" s="180">
        <v>1.0</v>
      </c>
      <c r="E40" s="179"/>
      <c r="G40" s="136">
        <v>1.0</v>
      </c>
      <c r="K40" s="129">
        <f t="shared" si="11"/>
        <v>16</v>
      </c>
      <c r="L40" s="156" t="str">
        <f t="shared" si="12"/>
        <v> Tate</v>
      </c>
      <c r="M40" s="180">
        <v>1.0</v>
      </c>
      <c r="N40" s="181"/>
      <c r="T40" s="132"/>
      <c r="U40" s="7"/>
    </row>
    <row r="41">
      <c r="A41" s="14"/>
      <c r="B41" s="135">
        <f t="shared" si="9"/>
        <v>16</v>
      </c>
      <c r="C41" s="156" t="str">
        <f t="shared" si="10"/>
        <v> Bonnstetter</v>
      </c>
      <c r="D41" s="180"/>
      <c r="E41" s="179">
        <v>1.0</v>
      </c>
      <c r="K41" s="135">
        <f t="shared" si="11"/>
        <v>16</v>
      </c>
      <c r="L41" s="156" t="str">
        <f t="shared" si="12"/>
        <v> Pearlmutter</v>
      </c>
      <c r="M41" s="178"/>
      <c r="N41" s="179">
        <v>1.0</v>
      </c>
      <c r="T41" s="132"/>
      <c r="U41" s="7"/>
    </row>
    <row r="42">
      <c r="A42" s="8"/>
      <c r="B42" s="129">
        <f t="shared" si="9"/>
        <v>17</v>
      </c>
      <c r="C42" s="156" t="str">
        <f t="shared" si="10"/>
        <v> Montero</v>
      </c>
      <c r="D42" s="180"/>
      <c r="E42" s="179">
        <v>1.0</v>
      </c>
      <c r="K42" s="129">
        <f t="shared" si="11"/>
        <v>17</v>
      </c>
      <c r="L42" s="156" t="str">
        <f t="shared" si="12"/>
        <v> Tate</v>
      </c>
      <c r="M42" s="180"/>
      <c r="N42" s="179">
        <v>1.0</v>
      </c>
      <c r="T42" s="132"/>
      <c r="U42" s="7"/>
    </row>
    <row r="43">
      <c r="A43" s="14"/>
      <c r="B43" s="135">
        <f t="shared" si="9"/>
        <v>17</v>
      </c>
      <c r="C43" s="156" t="str">
        <f t="shared" si="10"/>
        <v> Bonnstetter</v>
      </c>
      <c r="D43" s="180">
        <v>1.0</v>
      </c>
      <c r="E43" s="179"/>
      <c r="G43" s="136">
        <v>1.0</v>
      </c>
      <c r="K43" s="135">
        <f t="shared" si="11"/>
        <v>17</v>
      </c>
      <c r="L43" s="156" t="str">
        <f t="shared" si="12"/>
        <v> Pearlmutter</v>
      </c>
      <c r="M43" s="180">
        <v>1.0</v>
      </c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Montero</v>
      </c>
      <c r="D44" s="180">
        <v>1.0</v>
      </c>
      <c r="E44" s="181"/>
      <c r="F44" s="136">
        <v>1.0</v>
      </c>
      <c r="K44" s="129">
        <f t="shared" si="11"/>
        <v>18</v>
      </c>
      <c r="L44" s="156" t="str">
        <f t="shared" si="12"/>
        <v> Tate</v>
      </c>
      <c r="M44" s="180"/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Bonnstetter</v>
      </c>
      <c r="D45" s="180"/>
      <c r="E45" s="181"/>
      <c r="K45" s="129">
        <f t="shared" si="11"/>
        <v>18</v>
      </c>
      <c r="L45" s="156" t="str">
        <f t="shared" si="12"/>
        <v> Pearlmutter</v>
      </c>
      <c r="M45" s="180"/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Montero</v>
      </c>
      <c r="D46" s="180"/>
      <c r="E46" s="181"/>
      <c r="K46" s="135">
        <f t="shared" si="11"/>
        <v>19</v>
      </c>
      <c r="L46" s="156" t="str">
        <f t="shared" si="12"/>
        <v> Tate</v>
      </c>
      <c r="M46" s="180"/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Bonnstetter</v>
      </c>
      <c r="D47" s="180"/>
      <c r="E47" s="181"/>
      <c r="K47" s="129">
        <f t="shared" si="11"/>
        <v>19</v>
      </c>
      <c r="L47" s="156" t="str">
        <f t="shared" si="12"/>
        <v> Pearlmutter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Montero</v>
      </c>
      <c r="D48" s="180"/>
      <c r="E48" s="181"/>
      <c r="K48" s="135">
        <f t="shared" si="11"/>
        <v>20</v>
      </c>
      <c r="L48" s="156" t="str">
        <f t="shared" si="12"/>
        <v> Tate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Bonnstetter</v>
      </c>
      <c r="D49" s="178"/>
      <c r="E49" s="179"/>
      <c r="K49" s="129">
        <f t="shared" si="11"/>
        <v>20</v>
      </c>
      <c r="L49" s="156" t="str">
        <f t="shared" si="12"/>
        <v> Pearlmutter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Montero</v>
      </c>
      <c r="D50" s="180"/>
      <c r="E50" s="181"/>
      <c r="K50" s="129">
        <f t="shared" si="11"/>
        <v>21</v>
      </c>
      <c r="L50" s="156" t="str">
        <f t="shared" si="12"/>
        <v> Tate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Bonnstetter</v>
      </c>
      <c r="D51" s="180"/>
      <c r="E51" s="181"/>
      <c r="K51" s="135">
        <f t="shared" si="11"/>
        <v>21</v>
      </c>
      <c r="L51" s="156" t="str">
        <f t="shared" si="12"/>
        <v> Pearlmutter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Montero</v>
      </c>
      <c r="D52" s="178"/>
      <c r="E52" s="181"/>
      <c r="K52" s="129">
        <f t="shared" si="11"/>
        <v>22</v>
      </c>
      <c r="L52" s="156" t="str">
        <f t="shared" si="12"/>
        <v> Tate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Bonnstetter</v>
      </c>
      <c r="D53" s="178"/>
      <c r="E53" s="181"/>
      <c r="K53" s="135">
        <f t="shared" si="11"/>
        <v>22</v>
      </c>
      <c r="L53" s="156" t="str">
        <f t="shared" si="12"/>
        <v> Pearlmutter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Montero</v>
      </c>
      <c r="D54" s="178"/>
      <c r="E54" s="181"/>
      <c r="K54" s="129">
        <f t="shared" si="11"/>
        <v>23</v>
      </c>
      <c r="L54" s="156" t="str">
        <f t="shared" si="12"/>
        <v> Tate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Bonnstetter</v>
      </c>
      <c r="D55" s="178"/>
      <c r="E55" s="181"/>
      <c r="K55" s="135">
        <f t="shared" si="11"/>
        <v>23</v>
      </c>
      <c r="L55" s="156" t="str">
        <f t="shared" si="12"/>
        <v> Pearlmutter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Montero</v>
      </c>
      <c r="D56" s="178"/>
      <c r="E56" s="181"/>
      <c r="K56" s="129">
        <f t="shared" si="11"/>
        <v>24</v>
      </c>
      <c r="L56" s="156" t="str">
        <f t="shared" si="12"/>
        <v> Tate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Bonnstetter</v>
      </c>
      <c r="D57" s="178"/>
      <c r="E57" s="181"/>
      <c r="K57" s="129">
        <f t="shared" si="11"/>
        <v>24</v>
      </c>
      <c r="L57" s="156" t="str">
        <f t="shared" si="12"/>
        <v> Pearlmutter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Montero</v>
      </c>
      <c r="D58" s="178"/>
      <c r="E58" s="181"/>
      <c r="K58" s="135">
        <f t="shared" si="11"/>
        <v>25</v>
      </c>
      <c r="L58" s="156" t="str">
        <f t="shared" si="12"/>
        <v> Tate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Bonnstetter</v>
      </c>
      <c r="D59" s="178"/>
      <c r="E59" s="181"/>
      <c r="K59" s="129">
        <f t="shared" si="11"/>
        <v>25</v>
      </c>
      <c r="L59" s="156" t="str">
        <f t="shared" si="12"/>
        <v> Pearlmutter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Montero</v>
      </c>
      <c r="D60" s="178"/>
      <c r="E60" s="181"/>
      <c r="K60" s="135">
        <f t="shared" si="11"/>
        <v>26</v>
      </c>
      <c r="L60" s="156" t="str">
        <f t="shared" si="12"/>
        <v> Tate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Bonnstetter</v>
      </c>
      <c r="D61" s="178"/>
      <c r="E61" s="181"/>
      <c r="K61" s="129">
        <f t="shared" si="11"/>
        <v>26</v>
      </c>
      <c r="L61" s="156" t="str">
        <f t="shared" si="12"/>
        <v> Pearlmutter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Montero</v>
      </c>
      <c r="D62" s="178"/>
      <c r="E62" s="181"/>
      <c r="K62" s="135">
        <f t="shared" si="11"/>
        <v>27</v>
      </c>
      <c r="L62" s="156" t="str">
        <f t="shared" si="12"/>
        <v> Tate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Bonnstetter</v>
      </c>
      <c r="D63" s="178"/>
      <c r="E63" s="181"/>
      <c r="K63" s="129">
        <f t="shared" si="11"/>
        <v>27</v>
      </c>
      <c r="L63" s="156" t="str">
        <f t="shared" si="12"/>
        <v> Pearlmutter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Montero</v>
      </c>
      <c r="D64" s="178"/>
      <c r="E64" s="181"/>
      <c r="K64" s="135">
        <f t="shared" si="11"/>
        <v>28</v>
      </c>
      <c r="L64" s="156" t="str">
        <f t="shared" si="12"/>
        <v> Tate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Bonnstetter</v>
      </c>
      <c r="D65" s="178"/>
      <c r="E65" s="181"/>
      <c r="K65" s="129">
        <f t="shared" si="11"/>
        <v>28</v>
      </c>
      <c r="L65" s="156" t="str">
        <f t="shared" si="12"/>
        <v> Pearlmutter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Montero</v>
      </c>
      <c r="D66" s="178"/>
      <c r="E66" s="181"/>
      <c r="K66" s="135">
        <f t="shared" si="11"/>
        <v>29</v>
      </c>
      <c r="L66" s="156" t="str">
        <f t="shared" si="12"/>
        <v> Tate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Bonnstetter</v>
      </c>
      <c r="D67" s="178"/>
      <c r="E67" s="181"/>
      <c r="K67" s="135">
        <f t="shared" si="11"/>
        <v>29</v>
      </c>
      <c r="L67" s="156" t="str">
        <f t="shared" si="12"/>
        <v> Pearlmutter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Montero</v>
      </c>
      <c r="D68" s="178"/>
      <c r="E68" s="181"/>
      <c r="K68" s="135">
        <f t="shared" si="11"/>
        <v>30</v>
      </c>
      <c r="L68" s="156" t="str">
        <f t="shared" si="12"/>
        <v> Tate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Bonnstetter</v>
      </c>
      <c r="D69" s="178"/>
      <c r="E69" s="181"/>
      <c r="K69" s="135">
        <f t="shared" si="11"/>
        <v>30</v>
      </c>
      <c r="L69" s="156" t="str">
        <f t="shared" si="12"/>
        <v> Pearlmutter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Montero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Tate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Bonnstetter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Pearlmutter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Montero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Tate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Bonnstetter</v>
      </c>
      <c r="D73" s="178"/>
      <c r="E73" s="181"/>
      <c r="K73" s="129">
        <v>32.0</v>
      </c>
      <c r="L73" s="156" t="str">
        <f t="shared" si="12"/>
        <v> Pearlmutter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Montero</v>
      </c>
      <c r="D74" s="192"/>
      <c r="E74" s="181"/>
      <c r="K74" s="129">
        <v>33.0</v>
      </c>
      <c r="L74" s="156" t="str">
        <f t="shared" si="12"/>
        <v> Tate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Bonnstetter</v>
      </c>
      <c r="D75" s="178"/>
      <c r="E75" s="181"/>
      <c r="K75" s="129">
        <v>33.0</v>
      </c>
      <c r="L75" s="156" t="str">
        <f t="shared" si="12"/>
        <v> Pearlmutter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Montero</v>
      </c>
      <c r="D76" s="178"/>
      <c r="E76" s="181"/>
      <c r="K76" s="129">
        <v>34.0</v>
      </c>
      <c r="L76" s="156" t="str">
        <f t="shared" si="12"/>
        <v> Tate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Bonnstetter</v>
      </c>
      <c r="D77" s="178"/>
      <c r="E77" s="181"/>
      <c r="K77" s="129">
        <v>34.0</v>
      </c>
      <c r="L77" s="156" t="str">
        <f t="shared" si="12"/>
        <v> Pearlmutter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Montero</v>
      </c>
      <c r="D78" s="178"/>
      <c r="E78" s="181"/>
      <c r="K78" s="129">
        <v>35.0</v>
      </c>
      <c r="L78" s="156" t="str">
        <f t="shared" si="12"/>
        <v> Tate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Bonnstetter</v>
      </c>
      <c r="D79" s="178"/>
      <c r="E79" s="181"/>
      <c r="K79" s="129">
        <v>35.0</v>
      </c>
      <c r="L79" s="156" t="str">
        <f t="shared" si="12"/>
        <v> Pearlmutter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Montero</v>
      </c>
      <c r="D80" s="178"/>
      <c r="E80" s="181"/>
      <c r="K80" s="129">
        <v>36.0</v>
      </c>
      <c r="L80" s="156" t="str">
        <f t="shared" si="12"/>
        <v> Tate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Bonnstetter</v>
      </c>
      <c r="D81" s="178"/>
      <c r="E81" s="181"/>
      <c r="K81" s="129">
        <v>36.0</v>
      </c>
      <c r="L81" s="156" t="str">
        <f t="shared" si="12"/>
        <v> Pearlmutter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Montero</v>
      </c>
      <c r="D82" s="178"/>
      <c r="E82" s="181"/>
      <c r="K82" s="129">
        <v>37.0</v>
      </c>
      <c r="L82" s="156" t="str">
        <f t="shared" si="12"/>
        <v> Tate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Bonnstetter</v>
      </c>
      <c r="D83" s="178"/>
      <c r="E83" s="181"/>
      <c r="K83" s="129">
        <v>37.0</v>
      </c>
      <c r="L83" s="156" t="str">
        <f t="shared" si="12"/>
        <v> Pearlmutter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Montero</v>
      </c>
      <c r="D84" s="178"/>
      <c r="E84" s="181"/>
      <c r="K84" s="129">
        <v>38.0</v>
      </c>
      <c r="L84" s="156" t="str">
        <f t="shared" si="12"/>
        <v> Tate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Bonnstetter</v>
      </c>
      <c r="D85" s="178"/>
      <c r="E85" s="181"/>
      <c r="K85" s="129">
        <v>38.0</v>
      </c>
      <c r="L85" s="156" t="str">
        <f t="shared" si="12"/>
        <v> Pearlmutter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Montero</v>
      </c>
      <c r="D86" s="178"/>
      <c r="E86" s="181"/>
      <c r="K86" s="129">
        <v>39.0</v>
      </c>
      <c r="L86" s="156" t="str">
        <f t="shared" si="12"/>
        <v> Tate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Bonnstetter</v>
      </c>
      <c r="D87" s="178"/>
      <c r="E87" s="181"/>
      <c r="K87" s="129">
        <v>39.0</v>
      </c>
      <c r="L87" s="156" t="str">
        <f t="shared" si="12"/>
        <v> Pearlmutter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Montero</v>
      </c>
      <c r="D88" s="178"/>
      <c r="E88" s="181"/>
      <c r="K88" s="129">
        <v>40.0</v>
      </c>
      <c r="L88" s="156" t="str">
        <f t="shared" si="12"/>
        <v> Tate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Bonnstetter</v>
      </c>
      <c r="D89" s="178"/>
      <c r="E89" s="181"/>
      <c r="K89" s="129">
        <v>40.0</v>
      </c>
      <c r="L89" s="156" t="str">
        <f t="shared" si="12"/>
        <v> Pearlmutter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0.13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92</v>
      </c>
      <c r="D3" s="189">
        <f t="shared" ref="D3:J3" si="1">SUMPRODUCT(D10:D90,MOD(ROW(D10:D90),2)=0)</f>
        <v>9</v>
      </c>
      <c r="E3" s="189">
        <f t="shared" si="1"/>
        <v>7</v>
      </c>
      <c r="F3" s="189">
        <f t="shared" si="1"/>
        <v>0</v>
      </c>
      <c r="G3" s="189">
        <f t="shared" si="1"/>
        <v>0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107</v>
      </c>
      <c r="M3" s="189">
        <f t="shared" ref="M3:S3" si="2">SUMPRODUCT(M10:M90,MOD(ROW(M10:M90),2)=0)</f>
        <v>13</v>
      </c>
      <c r="N3" s="189">
        <f t="shared" si="2"/>
        <v>3</v>
      </c>
      <c r="O3" s="189">
        <f t="shared" si="2"/>
        <v>0</v>
      </c>
      <c r="P3" s="189">
        <f t="shared" si="2"/>
        <v>2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124</v>
      </c>
      <c r="D4" s="191">
        <f t="shared" ref="D4:J4" si="3">SUMPRODUCT(D10:D90,MOD(ROW(D10:D90),2))</f>
        <v>12</v>
      </c>
      <c r="E4" s="191">
        <f t="shared" si="3"/>
        <v>3</v>
      </c>
      <c r="F4" s="191">
        <f t="shared" si="3"/>
        <v>1</v>
      </c>
      <c r="G4" s="191">
        <f t="shared" si="3"/>
        <v>1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118</v>
      </c>
      <c r="M4" s="191">
        <f t="shared" ref="M4:S4" si="4">SUMPRODUCT(M10:M90,MOD(ROW(M10:M90),2))</f>
        <v>11</v>
      </c>
      <c r="N4" s="191">
        <f t="shared" si="4"/>
        <v>5</v>
      </c>
      <c r="O4" s="191">
        <f t="shared" si="4"/>
        <v>0</v>
      </c>
      <c r="P4" s="191">
        <f t="shared" si="4"/>
        <v>1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Doody %</v>
      </c>
      <c r="D5" s="137">
        <f t="shared" ref="D5:D6" si="6">IFERROR((E3/(E3+D3)),0)</f>
        <v>0.4375</v>
      </c>
      <c r="K5" s="135"/>
      <c r="L5" s="136" t="str">
        <f t="shared" ref="L5:L6" si="7">IFERROR((L10 &amp;" %"), "")</f>
        <v> Martinez %</v>
      </c>
      <c r="M5" s="137">
        <f t="shared" ref="M5:M6" si="8">IFERROR((N3/(N3+M3)),0)</f>
        <v>0.1875</v>
      </c>
      <c r="S5" s="132"/>
      <c r="T5" s="132"/>
      <c r="U5" s="7"/>
    </row>
    <row r="6">
      <c r="A6" s="14"/>
      <c r="B6" s="138"/>
      <c r="C6" s="139" t="str">
        <f t="shared" si="5"/>
        <v> Morrison %</v>
      </c>
      <c r="D6" s="140">
        <f t="shared" si="6"/>
        <v>0.2</v>
      </c>
      <c r="E6" s="141"/>
      <c r="F6" s="141"/>
      <c r="G6" s="141"/>
      <c r="H6" s="141"/>
      <c r="I6" s="141"/>
      <c r="J6" s="141"/>
      <c r="K6" s="138"/>
      <c r="L6" s="139" t="str">
        <f t="shared" si="7"/>
        <v> Grissinger %</v>
      </c>
      <c r="M6" s="142">
        <f t="shared" si="8"/>
        <v>0.3125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Doody")</f>
        <v> Doody</v>
      </c>
      <c r="D10" s="180"/>
      <c r="E10" s="179">
        <v>1.0</v>
      </c>
      <c r="F10" s="136"/>
      <c r="G10" s="136"/>
      <c r="K10" s="129">
        <v>1.0</v>
      </c>
      <c r="L10" s="136" t="str">
        <f>IFERROR(__xludf.DUMMYFUNCTION("REGEXEXTRACT(L3, ""( .*)+"")")," Martinez")</f>
        <v> Martinez</v>
      </c>
      <c r="M10" s="180"/>
      <c r="N10" s="179">
        <v>1.0</v>
      </c>
      <c r="P10" s="186"/>
      <c r="T10" s="132"/>
      <c r="U10" s="7"/>
    </row>
    <row r="11">
      <c r="A11" s="8"/>
      <c r="B11" s="129">
        <v>1.0</v>
      </c>
      <c r="C11" s="136" t="str">
        <f>IFERROR(__xludf.DUMMYFUNCTION("REGEXEXTRACT(C4, ""( .*)+"")")," Morrison")</f>
        <v> Morrison</v>
      </c>
      <c r="D11" s="180">
        <v>1.0</v>
      </c>
      <c r="E11" s="179"/>
      <c r="G11" s="136">
        <v>1.0</v>
      </c>
      <c r="K11" s="129">
        <v>1.0</v>
      </c>
      <c r="L11" s="136" t="str">
        <f>IFERROR(__xludf.DUMMYFUNCTION("REGEXEXTRACT(L4, ""( .*)+"")")," Grissinger")</f>
        <v> Grissinger</v>
      </c>
      <c r="M11" s="180"/>
      <c r="N11" s="179">
        <v>1.0</v>
      </c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Doody</v>
      </c>
      <c r="D12" s="180">
        <v>1.0</v>
      </c>
      <c r="E12" s="179"/>
      <c r="K12" s="129">
        <f t="shared" ref="K12:K69" si="11">K10+1</f>
        <v>2</v>
      </c>
      <c r="L12" s="156" t="str">
        <f t="shared" ref="L12:L89" si="12">L10</f>
        <v> Martinez</v>
      </c>
      <c r="M12" s="180"/>
      <c r="N12" s="179">
        <v>1.0</v>
      </c>
      <c r="T12" s="132"/>
      <c r="U12" s="7"/>
    </row>
    <row r="13">
      <c r="A13" s="14"/>
      <c r="B13" s="135">
        <f t="shared" si="9"/>
        <v>2</v>
      </c>
      <c r="C13" s="156" t="str">
        <f t="shared" si="10"/>
        <v> Morrison</v>
      </c>
      <c r="D13" s="180">
        <v>1.0</v>
      </c>
      <c r="E13" s="179"/>
      <c r="K13" s="135">
        <f t="shared" si="11"/>
        <v>2</v>
      </c>
      <c r="L13" s="156" t="str">
        <f t="shared" si="12"/>
        <v> Grissinger</v>
      </c>
      <c r="M13" s="180">
        <v>1.0</v>
      </c>
      <c r="N13" s="181"/>
      <c r="P13" s="136">
        <v>1.0</v>
      </c>
      <c r="T13" s="132"/>
      <c r="U13" s="7"/>
    </row>
    <row r="14">
      <c r="A14" s="8"/>
      <c r="B14" s="129">
        <f t="shared" si="9"/>
        <v>3</v>
      </c>
      <c r="C14" s="156" t="str">
        <f t="shared" si="10"/>
        <v> Doody</v>
      </c>
      <c r="D14" s="180">
        <v>1.0</v>
      </c>
      <c r="E14" s="179"/>
      <c r="K14" s="129">
        <f t="shared" si="11"/>
        <v>3</v>
      </c>
      <c r="L14" s="156" t="str">
        <f t="shared" si="12"/>
        <v> Martinez</v>
      </c>
      <c r="M14" s="180">
        <v>1.0</v>
      </c>
      <c r="N14" s="181"/>
      <c r="T14" s="132"/>
      <c r="U14" s="7"/>
    </row>
    <row r="15">
      <c r="A15" s="14"/>
      <c r="B15" s="135">
        <f t="shared" si="9"/>
        <v>3</v>
      </c>
      <c r="C15" s="156" t="str">
        <f t="shared" si="10"/>
        <v> Morrison</v>
      </c>
      <c r="D15" s="180"/>
      <c r="E15" s="179">
        <v>1.0</v>
      </c>
      <c r="K15" s="135">
        <f t="shared" si="11"/>
        <v>3</v>
      </c>
      <c r="L15" s="156" t="str">
        <f t="shared" si="12"/>
        <v> Grissinger</v>
      </c>
      <c r="M15" s="180">
        <v>1.0</v>
      </c>
      <c r="N15" s="181"/>
      <c r="T15" s="132"/>
      <c r="U15" s="7"/>
    </row>
    <row r="16">
      <c r="A16" s="8"/>
      <c r="B16" s="129">
        <f t="shared" si="9"/>
        <v>4</v>
      </c>
      <c r="C16" s="156" t="str">
        <f t="shared" si="10"/>
        <v> Doody</v>
      </c>
      <c r="D16" s="180">
        <v>1.0</v>
      </c>
      <c r="E16" s="181"/>
      <c r="K16" s="129">
        <f t="shared" si="11"/>
        <v>4</v>
      </c>
      <c r="L16" s="156" t="str">
        <f t="shared" si="12"/>
        <v> Martinez</v>
      </c>
      <c r="M16" s="180">
        <v>1.0</v>
      </c>
      <c r="N16" s="181"/>
      <c r="T16" s="132"/>
      <c r="U16" s="7"/>
    </row>
    <row r="17">
      <c r="A17" s="14"/>
      <c r="B17" s="135">
        <f t="shared" si="9"/>
        <v>4</v>
      </c>
      <c r="C17" s="156" t="str">
        <f t="shared" si="10"/>
        <v> Morrison</v>
      </c>
      <c r="D17" s="180">
        <v>1.0</v>
      </c>
      <c r="E17" s="179"/>
      <c r="K17" s="135">
        <f t="shared" si="11"/>
        <v>4</v>
      </c>
      <c r="L17" s="156" t="str">
        <f t="shared" si="12"/>
        <v> Grissinger</v>
      </c>
      <c r="M17" s="180">
        <v>1.0</v>
      </c>
      <c r="N17" s="179"/>
      <c r="T17" s="132"/>
      <c r="U17" s="7"/>
    </row>
    <row r="18">
      <c r="A18" s="8"/>
      <c r="B18" s="129">
        <f t="shared" si="9"/>
        <v>5</v>
      </c>
      <c r="C18" s="156" t="str">
        <f t="shared" si="10"/>
        <v> Doody</v>
      </c>
      <c r="D18" s="180"/>
      <c r="E18" s="179">
        <v>1.0</v>
      </c>
      <c r="K18" s="129">
        <f t="shared" si="11"/>
        <v>5</v>
      </c>
      <c r="L18" s="156" t="str">
        <f t="shared" si="12"/>
        <v> Martinez</v>
      </c>
      <c r="M18" s="180">
        <v>1.0</v>
      </c>
      <c r="N18" s="181"/>
      <c r="T18" s="132"/>
      <c r="U18" s="7"/>
    </row>
    <row r="19">
      <c r="A19" s="14"/>
      <c r="B19" s="135">
        <f t="shared" si="9"/>
        <v>5</v>
      </c>
      <c r="C19" s="156" t="str">
        <f t="shared" si="10"/>
        <v> Morrison</v>
      </c>
      <c r="D19" s="180">
        <v>1.0</v>
      </c>
      <c r="E19" s="181"/>
      <c r="K19" s="135">
        <f t="shared" si="11"/>
        <v>5</v>
      </c>
      <c r="L19" s="156" t="str">
        <f t="shared" si="12"/>
        <v> Grissinger</v>
      </c>
      <c r="M19" s="180">
        <v>1.0</v>
      </c>
      <c r="N19" s="179"/>
      <c r="T19" s="132"/>
      <c r="U19" s="7"/>
    </row>
    <row r="20">
      <c r="A20" s="8"/>
      <c r="B20" s="129">
        <f t="shared" si="9"/>
        <v>6</v>
      </c>
      <c r="C20" s="156" t="str">
        <f t="shared" si="10"/>
        <v> Doody</v>
      </c>
      <c r="D20" s="178"/>
      <c r="E20" s="179">
        <v>1.0</v>
      </c>
      <c r="K20" s="129">
        <f t="shared" si="11"/>
        <v>6</v>
      </c>
      <c r="L20" s="156" t="str">
        <f t="shared" si="12"/>
        <v> Martinez</v>
      </c>
      <c r="M20" s="180">
        <v>1.0</v>
      </c>
      <c r="N20" s="181"/>
      <c r="P20" s="136">
        <v>1.0</v>
      </c>
      <c r="T20" s="132"/>
      <c r="U20" s="7"/>
    </row>
    <row r="21">
      <c r="A21" s="14"/>
      <c r="B21" s="135">
        <f t="shared" si="9"/>
        <v>6</v>
      </c>
      <c r="C21" s="156" t="str">
        <f t="shared" si="10"/>
        <v> Morrison</v>
      </c>
      <c r="D21" s="180"/>
      <c r="E21" s="179">
        <v>1.0</v>
      </c>
      <c r="K21" s="135">
        <f t="shared" si="11"/>
        <v>6</v>
      </c>
      <c r="L21" s="156" t="str">
        <f t="shared" si="12"/>
        <v> Grissinger</v>
      </c>
      <c r="M21" s="180"/>
      <c r="N21" s="179">
        <v>1.0</v>
      </c>
      <c r="T21" s="132"/>
      <c r="U21" s="7"/>
    </row>
    <row r="22">
      <c r="A22" s="8"/>
      <c r="B22" s="129">
        <f t="shared" si="9"/>
        <v>7</v>
      </c>
      <c r="C22" s="156" t="str">
        <f t="shared" si="10"/>
        <v> Doody</v>
      </c>
      <c r="D22" s="180">
        <v>1.0</v>
      </c>
      <c r="E22" s="181"/>
      <c r="K22" s="129">
        <f t="shared" si="11"/>
        <v>7</v>
      </c>
      <c r="L22" s="156" t="str">
        <f t="shared" si="12"/>
        <v> Martinez</v>
      </c>
      <c r="M22" s="180">
        <v>1.0</v>
      </c>
      <c r="N22" s="181"/>
      <c r="T22" s="132"/>
      <c r="U22" s="7"/>
    </row>
    <row r="23">
      <c r="A23" s="14"/>
      <c r="B23" s="135">
        <f t="shared" si="9"/>
        <v>7</v>
      </c>
      <c r="C23" s="156" t="str">
        <f t="shared" si="10"/>
        <v> Morrison</v>
      </c>
      <c r="D23" s="180">
        <v>1.0</v>
      </c>
      <c r="E23" s="181"/>
      <c r="K23" s="135">
        <f t="shared" si="11"/>
        <v>7</v>
      </c>
      <c r="L23" s="156" t="str">
        <f t="shared" si="12"/>
        <v> Grissinger</v>
      </c>
      <c r="M23" s="180">
        <v>1.0</v>
      </c>
      <c r="N23" s="181"/>
      <c r="T23" s="132"/>
      <c r="U23" s="7"/>
    </row>
    <row r="24">
      <c r="A24" s="8"/>
      <c r="B24" s="129">
        <f t="shared" si="9"/>
        <v>8</v>
      </c>
      <c r="C24" s="156" t="str">
        <f t="shared" si="10"/>
        <v> Doody</v>
      </c>
      <c r="D24" s="180"/>
      <c r="E24" s="179">
        <v>1.0</v>
      </c>
      <c r="K24" s="129">
        <f t="shared" si="11"/>
        <v>8</v>
      </c>
      <c r="L24" s="156" t="str">
        <f t="shared" si="12"/>
        <v> Martinez</v>
      </c>
      <c r="M24" s="180">
        <v>1.0</v>
      </c>
      <c r="N24" s="181"/>
      <c r="T24" s="132"/>
      <c r="U24" s="7"/>
    </row>
    <row r="25">
      <c r="A25" s="14"/>
      <c r="B25" s="135">
        <f t="shared" si="9"/>
        <v>8</v>
      </c>
      <c r="C25" s="156" t="str">
        <f t="shared" si="10"/>
        <v> Morrison</v>
      </c>
      <c r="D25" s="180"/>
      <c r="E25" s="179">
        <v>1.0</v>
      </c>
      <c r="K25" s="135">
        <f t="shared" si="11"/>
        <v>8</v>
      </c>
      <c r="L25" s="156" t="str">
        <f t="shared" si="12"/>
        <v> Grissinger</v>
      </c>
      <c r="M25" s="180">
        <v>1.0</v>
      </c>
      <c r="N25" s="179"/>
      <c r="T25" s="132"/>
      <c r="U25" s="7"/>
    </row>
    <row r="26">
      <c r="A26" s="8"/>
      <c r="B26" s="129">
        <f t="shared" si="9"/>
        <v>9</v>
      </c>
      <c r="C26" s="156" t="str">
        <f t="shared" si="10"/>
        <v> Doody</v>
      </c>
      <c r="D26" s="180">
        <v>1.0</v>
      </c>
      <c r="E26" s="181"/>
      <c r="K26" s="129">
        <f t="shared" si="11"/>
        <v>9</v>
      </c>
      <c r="L26" s="156" t="str">
        <f t="shared" si="12"/>
        <v> Martinez</v>
      </c>
      <c r="M26" s="180"/>
      <c r="N26" s="179">
        <v>1.0</v>
      </c>
      <c r="T26" s="132"/>
      <c r="U26" s="7"/>
    </row>
    <row r="27">
      <c r="A27" s="14"/>
      <c r="B27" s="135">
        <f t="shared" si="9"/>
        <v>9</v>
      </c>
      <c r="C27" s="156" t="str">
        <f t="shared" si="10"/>
        <v> Morrison</v>
      </c>
      <c r="D27" s="180">
        <v>1.0</v>
      </c>
      <c r="E27" s="181"/>
      <c r="K27" s="135">
        <f t="shared" si="11"/>
        <v>9</v>
      </c>
      <c r="L27" s="156" t="str">
        <f t="shared" si="12"/>
        <v> Grissinger</v>
      </c>
      <c r="M27" s="180"/>
      <c r="N27" s="179">
        <v>1.0</v>
      </c>
      <c r="T27" s="132"/>
      <c r="U27" s="7"/>
    </row>
    <row r="28">
      <c r="A28" s="8"/>
      <c r="B28" s="129">
        <f t="shared" si="9"/>
        <v>10</v>
      </c>
      <c r="C28" s="156" t="str">
        <f t="shared" si="10"/>
        <v> Doody</v>
      </c>
      <c r="D28" s="180"/>
      <c r="E28" s="179">
        <v>1.0</v>
      </c>
      <c r="K28" s="129">
        <f t="shared" si="11"/>
        <v>10</v>
      </c>
      <c r="L28" s="156" t="str">
        <f t="shared" si="12"/>
        <v> Martinez</v>
      </c>
      <c r="M28" s="180">
        <v>1.0</v>
      </c>
      <c r="N28" s="181"/>
      <c r="T28" s="132"/>
      <c r="U28" s="7"/>
    </row>
    <row r="29">
      <c r="A29" s="14"/>
      <c r="B29" s="135">
        <f t="shared" si="9"/>
        <v>10</v>
      </c>
      <c r="C29" s="156" t="str">
        <f t="shared" si="10"/>
        <v> Morrison</v>
      </c>
      <c r="D29" s="180">
        <v>1.0</v>
      </c>
      <c r="E29" s="181"/>
      <c r="K29" s="135">
        <f t="shared" si="11"/>
        <v>10</v>
      </c>
      <c r="L29" s="156" t="str">
        <f t="shared" si="12"/>
        <v> Grissinger</v>
      </c>
      <c r="M29" s="180">
        <v>1.0</v>
      </c>
      <c r="N29" s="181"/>
      <c r="T29" s="132"/>
      <c r="U29" s="7"/>
    </row>
    <row r="30">
      <c r="A30" s="8"/>
      <c r="B30" s="129">
        <f t="shared" si="9"/>
        <v>11</v>
      </c>
      <c r="C30" s="156" t="str">
        <f t="shared" si="10"/>
        <v> Doody</v>
      </c>
      <c r="D30" s="180">
        <v>1.0</v>
      </c>
      <c r="E30" s="181"/>
      <c r="K30" s="129">
        <f t="shared" si="11"/>
        <v>11</v>
      </c>
      <c r="L30" s="156" t="str">
        <f t="shared" si="12"/>
        <v> Martinez</v>
      </c>
      <c r="M30" s="180">
        <v>1.0</v>
      </c>
      <c r="N30" s="181"/>
      <c r="P30" s="136">
        <v>1.0</v>
      </c>
      <c r="T30" s="132"/>
      <c r="U30" s="7"/>
    </row>
    <row r="31">
      <c r="A31" s="14"/>
      <c r="B31" s="135">
        <f t="shared" si="9"/>
        <v>11</v>
      </c>
      <c r="C31" s="156" t="str">
        <f t="shared" si="10"/>
        <v> Morrison</v>
      </c>
      <c r="D31" s="180">
        <v>1.0</v>
      </c>
      <c r="E31" s="181"/>
      <c r="F31" s="136">
        <v>1.0</v>
      </c>
      <c r="K31" s="135">
        <f t="shared" si="11"/>
        <v>11</v>
      </c>
      <c r="L31" s="156" t="str">
        <f t="shared" si="12"/>
        <v> Grissinger</v>
      </c>
      <c r="M31" s="180">
        <v>1.0</v>
      </c>
      <c r="N31" s="179"/>
      <c r="T31" s="132"/>
      <c r="U31" s="7"/>
    </row>
    <row r="32">
      <c r="A32" s="8"/>
      <c r="B32" s="129">
        <f t="shared" si="9"/>
        <v>12</v>
      </c>
      <c r="C32" s="156" t="str">
        <f t="shared" si="10"/>
        <v> Doody</v>
      </c>
      <c r="D32" s="180">
        <v>1.0</v>
      </c>
      <c r="E32" s="181"/>
      <c r="K32" s="129">
        <f t="shared" si="11"/>
        <v>12</v>
      </c>
      <c r="L32" s="156" t="str">
        <f t="shared" si="12"/>
        <v> Martinez</v>
      </c>
      <c r="M32" s="180">
        <v>1.0</v>
      </c>
      <c r="N32" s="181"/>
      <c r="T32" s="132"/>
      <c r="U32" s="7"/>
    </row>
    <row r="33">
      <c r="A33" s="14"/>
      <c r="B33" s="135">
        <f t="shared" si="9"/>
        <v>12</v>
      </c>
      <c r="C33" s="156" t="str">
        <f t="shared" si="10"/>
        <v> Morrison</v>
      </c>
      <c r="D33" s="180">
        <v>1.0</v>
      </c>
      <c r="E33" s="181"/>
      <c r="K33" s="135">
        <f t="shared" si="11"/>
        <v>12</v>
      </c>
      <c r="L33" s="156" t="str">
        <f t="shared" si="12"/>
        <v> Grissinger</v>
      </c>
      <c r="M33" s="180">
        <v>1.0</v>
      </c>
      <c r="N33" s="179"/>
      <c r="T33" s="132"/>
      <c r="U33" s="7"/>
    </row>
    <row r="34">
      <c r="A34" s="8"/>
      <c r="B34" s="129">
        <f t="shared" si="9"/>
        <v>13</v>
      </c>
      <c r="C34" s="156" t="str">
        <f t="shared" si="10"/>
        <v> Doody</v>
      </c>
      <c r="D34" s="180">
        <v>1.0</v>
      </c>
      <c r="E34" s="181"/>
      <c r="K34" s="129">
        <f t="shared" si="11"/>
        <v>13</v>
      </c>
      <c r="L34" s="156" t="str">
        <f t="shared" si="12"/>
        <v> Martinez</v>
      </c>
      <c r="M34" s="180">
        <v>1.0</v>
      </c>
      <c r="N34" s="181"/>
      <c r="T34" s="132"/>
      <c r="U34" s="7"/>
    </row>
    <row r="35">
      <c r="A35" s="14"/>
      <c r="B35" s="135">
        <f t="shared" si="9"/>
        <v>13</v>
      </c>
      <c r="C35" s="156" t="str">
        <f t="shared" si="10"/>
        <v> Morrison</v>
      </c>
      <c r="D35" s="180">
        <v>1.0</v>
      </c>
      <c r="E35" s="181"/>
      <c r="K35" s="135">
        <f t="shared" si="11"/>
        <v>13</v>
      </c>
      <c r="L35" s="156" t="str">
        <f t="shared" si="12"/>
        <v> Grissinger</v>
      </c>
      <c r="M35" s="180">
        <v>1.0</v>
      </c>
      <c r="N35" s="181"/>
      <c r="T35" s="132"/>
      <c r="U35" s="7"/>
    </row>
    <row r="36">
      <c r="A36" s="8"/>
      <c r="B36" s="129">
        <f t="shared" si="9"/>
        <v>14</v>
      </c>
      <c r="C36" s="156" t="str">
        <f t="shared" si="10"/>
        <v> Doody</v>
      </c>
      <c r="D36" s="180"/>
      <c r="E36" s="179">
        <v>1.0</v>
      </c>
      <c r="K36" s="129">
        <f t="shared" si="11"/>
        <v>14</v>
      </c>
      <c r="L36" s="156" t="str">
        <f t="shared" si="12"/>
        <v> Martinez</v>
      </c>
      <c r="M36" s="180">
        <v>1.0</v>
      </c>
      <c r="N36" s="181"/>
      <c r="T36" s="132"/>
      <c r="U36" s="7"/>
    </row>
    <row r="37">
      <c r="A37" s="14"/>
      <c r="B37" s="135">
        <f t="shared" si="9"/>
        <v>14</v>
      </c>
      <c r="C37" s="156" t="str">
        <f t="shared" si="10"/>
        <v> Morrison</v>
      </c>
      <c r="D37" s="180">
        <v>1.0</v>
      </c>
      <c r="E37" s="181"/>
      <c r="K37" s="135">
        <f t="shared" si="11"/>
        <v>14</v>
      </c>
      <c r="L37" s="156" t="str">
        <f t="shared" si="12"/>
        <v> Grissinger</v>
      </c>
      <c r="M37" s="180"/>
      <c r="N37" s="179">
        <v>1.0</v>
      </c>
      <c r="T37" s="132"/>
      <c r="U37" s="7"/>
    </row>
    <row r="38">
      <c r="A38" s="8"/>
      <c r="B38" s="129">
        <f t="shared" si="9"/>
        <v>15</v>
      </c>
      <c r="C38" s="156" t="str">
        <f t="shared" si="10"/>
        <v> Doody</v>
      </c>
      <c r="D38" s="180">
        <v>1.0</v>
      </c>
      <c r="E38" s="181"/>
      <c r="K38" s="129">
        <f t="shared" si="11"/>
        <v>15</v>
      </c>
      <c r="L38" s="156" t="str">
        <f t="shared" si="12"/>
        <v> Martinez</v>
      </c>
      <c r="M38" s="180">
        <v>1.0</v>
      </c>
      <c r="N38" s="181"/>
      <c r="T38" s="132"/>
      <c r="U38" s="7"/>
    </row>
    <row r="39">
      <c r="A39" s="14"/>
      <c r="B39" s="135">
        <f t="shared" si="9"/>
        <v>15</v>
      </c>
      <c r="C39" s="156" t="str">
        <f t="shared" si="10"/>
        <v> Morrison</v>
      </c>
      <c r="D39" s="180">
        <v>1.0</v>
      </c>
      <c r="E39" s="181"/>
      <c r="K39" s="135">
        <f t="shared" si="11"/>
        <v>15</v>
      </c>
      <c r="L39" s="156" t="str">
        <f t="shared" si="12"/>
        <v> Grissinger</v>
      </c>
      <c r="M39" s="180"/>
      <c r="N39" s="179">
        <v>1.0</v>
      </c>
      <c r="T39" s="132"/>
      <c r="U39" s="7"/>
    </row>
    <row r="40">
      <c r="A40" s="8"/>
      <c r="B40" s="129">
        <f t="shared" si="9"/>
        <v>16</v>
      </c>
      <c r="C40" s="156" t="str">
        <f t="shared" si="10"/>
        <v> Doody</v>
      </c>
      <c r="D40" s="180"/>
      <c r="E40" s="179">
        <v>1.0</v>
      </c>
      <c r="K40" s="129">
        <f t="shared" si="11"/>
        <v>16</v>
      </c>
      <c r="L40" s="156" t="str">
        <f t="shared" si="12"/>
        <v> Martinez</v>
      </c>
      <c r="M40" s="180">
        <v>1.0</v>
      </c>
      <c r="N40" s="181"/>
      <c r="T40" s="132"/>
      <c r="U40" s="7"/>
    </row>
    <row r="41">
      <c r="A41" s="14"/>
      <c r="B41" s="135">
        <f t="shared" si="9"/>
        <v>16</v>
      </c>
      <c r="C41" s="156" t="str">
        <f t="shared" si="10"/>
        <v> Morrison</v>
      </c>
      <c r="D41" s="180"/>
      <c r="E41" s="181"/>
      <c r="K41" s="135">
        <f t="shared" si="11"/>
        <v>16</v>
      </c>
      <c r="L41" s="156" t="str">
        <f t="shared" si="12"/>
        <v> Grissinger</v>
      </c>
      <c r="M41" s="180">
        <v>1.0</v>
      </c>
      <c r="N41" s="179"/>
      <c r="T41" s="132"/>
      <c r="U41" s="7"/>
    </row>
    <row r="42">
      <c r="A42" s="8"/>
      <c r="B42" s="129">
        <f t="shared" si="9"/>
        <v>17</v>
      </c>
      <c r="C42" s="156" t="str">
        <f t="shared" si="10"/>
        <v> Doody</v>
      </c>
      <c r="D42" s="180"/>
      <c r="E42" s="181"/>
      <c r="K42" s="129">
        <f t="shared" si="11"/>
        <v>17</v>
      </c>
      <c r="L42" s="156" t="str">
        <f t="shared" si="12"/>
        <v> Martinez</v>
      </c>
      <c r="M42" s="180"/>
      <c r="N42" s="181"/>
      <c r="T42" s="132"/>
      <c r="U42" s="7"/>
    </row>
    <row r="43">
      <c r="A43" s="14"/>
      <c r="B43" s="135">
        <f t="shared" si="9"/>
        <v>17</v>
      </c>
      <c r="C43" s="156" t="str">
        <f t="shared" si="10"/>
        <v> Morrison</v>
      </c>
      <c r="D43" s="178"/>
      <c r="E43" s="179"/>
      <c r="K43" s="135">
        <f t="shared" si="11"/>
        <v>17</v>
      </c>
      <c r="L43" s="156" t="str">
        <f t="shared" si="12"/>
        <v> Grissinger</v>
      </c>
      <c r="M43" s="180"/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Doody</v>
      </c>
      <c r="D44" s="180"/>
      <c r="E44" s="181"/>
      <c r="K44" s="129">
        <f t="shared" si="11"/>
        <v>18</v>
      </c>
      <c r="L44" s="156" t="str">
        <f t="shared" si="12"/>
        <v> Martinez</v>
      </c>
      <c r="M44" s="180"/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Morrison</v>
      </c>
      <c r="D45" s="180"/>
      <c r="E45" s="181"/>
      <c r="K45" s="129">
        <f t="shared" si="11"/>
        <v>18</v>
      </c>
      <c r="L45" s="156" t="str">
        <f t="shared" si="12"/>
        <v> Grissinger</v>
      </c>
      <c r="M45" s="180"/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Doody</v>
      </c>
      <c r="D46" s="180"/>
      <c r="E46" s="181"/>
      <c r="K46" s="135">
        <f t="shared" si="11"/>
        <v>19</v>
      </c>
      <c r="L46" s="156" t="str">
        <f t="shared" si="12"/>
        <v> Martinez</v>
      </c>
      <c r="M46" s="180"/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Morrison</v>
      </c>
      <c r="D47" s="180"/>
      <c r="E47" s="181"/>
      <c r="K47" s="129">
        <f t="shared" si="11"/>
        <v>19</v>
      </c>
      <c r="L47" s="156" t="str">
        <f t="shared" si="12"/>
        <v> Grissinger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Doody</v>
      </c>
      <c r="D48" s="180"/>
      <c r="E48" s="181"/>
      <c r="K48" s="135">
        <f t="shared" si="11"/>
        <v>20</v>
      </c>
      <c r="L48" s="156" t="str">
        <f t="shared" si="12"/>
        <v> Martinez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Morrison</v>
      </c>
      <c r="D49" s="178"/>
      <c r="E49" s="179"/>
      <c r="K49" s="129">
        <f t="shared" si="11"/>
        <v>20</v>
      </c>
      <c r="L49" s="156" t="str">
        <f t="shared" si="12"/>
        <v> Grissinger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Doody</v>
      </c>
      <c r="D50" s="180"/>
      <c r="E50" s="181"/>
      <c r="K50" s="129">
        <f t="shared" si="11"/>
        <v>21</v>
      </c>
      <c r="L50" s="156" t="str">
        <f t="shared" si="12"/>
        <v> Martinez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Morrison</v>
      </c>
      <c r="D51" s="180"/>
      <c r="E51" s="181"/>
      <c r="K51" s="135">
        <f t="shared" si="11"/>
        <v>21</v>
      </c>
      <c r="L51" s="156" t="str">
        <f t="shared" si="12"/>
        <v> Grissinger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Doody</v>
      </c>
      <c r="D52" s="178"/>
      <c r="E52" s="181"/>
      <c r="K52" s="129">
        <f t="shared" si="11"/>
        <v>22</v>
      </c>
      <c r="L52" s="156" t="str">
        <f t="shared" si="12"/>
        <v> Martinez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Morrison</v>
      </c>
      <c r="D53" s="178"/>
      <c r="E53" s="181"/>
      <c r="K53" s="135">
        <f t="shared" si="11"/>
        <v>22</v>
      </c>
      <c r="L53" s="156" t="str">
        <f t="shared" si="12"/>
        <v> Grissinger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Doody</v>
      </c>
      <c r="D54" s="178"/>
      <c r="E54" s="181"/>
      <c r="K54" s="129">
        <f t="shared" si="11"/>
        <v>23</v>
      </c>
      <c r="L54" s="156" t="str">
        <f t="shared" si="12"/>
        <v> Martinez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Morrison</v>
      </c>
      <c r="D55" s="178"/>
      <c r="E55" s="181"/>
      <c r="K55" s="135">
        <f t="shared" si="11"/>
        <v>23</v>
      </c>
      <c r="L55" s="156" t="str">
        <f t="shared" si="12"/>
        <v> Grissinger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Doody</v>
      </c>
      <c r="D56" s="178"/>
      <c r="E56" s="181"/>
      <c r="K56" s="129">
        <f t="shared" si="11"/>
        <v>24</v>
      </c>
      <c r="L56" s="156" t="str">
        <f t="shared" si="12"/>
        <v> Martinez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Morrison</v>
      </c>
      <c r="D57" s="178"/>
      <c r="E57" s="181"/>
      <c r="K57" s="129">
        <f t="shared" si="11"/>
        <v>24</v>
      </c>
      <c r="L57" s="156" t="str">
        <f t="shared" si="12"/>
        <v> Grissinger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Doody</v>
      </c>
      <c r="D58" s="178"/>
      <c r="E58" s="181"/>
      <c r="K58" s="135">
        <f t="shared" si="11"/>
        <v>25</v>
      </c>
      <c r="L58" s="156" t="str">
        <f t="shared" si="12"/>
        <v> Martinez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Morrison</v>
      </c>
      <c r="D59" s="178"/>
      <c r="E59" s="181"/>
      <c r="K59" s="129">
        <f t="shared" si="11"/>
        <v>25</v>
      </c>
      <c r="L59" s="156" t="str">
        <f t="shared" si="12"/>
        <v> Grissinger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Doody</v>
      </c>
      <c r="D60" s="178"/>
      <c r="E60" s="181"/>
      <c r="K60" s="135">
        <f t="shared" si="11"/>
        <v>26</v>
      </c>
      <c r="L60" s="156" t="str">
        <f t="shared" si="12"/>
        <v> Martinez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Morrison</v>
      </c>
      <c r="D61" s="178"/>
      <c r="E61" s="181"/>
      <c r="K61" s="129">
        <f t="shared" si="11"/>
        <v>26</v>
      </c>
      <c r="L61" s="156" t="str">
        <f t="shared" si="12"/>
        <v> Grissinger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Doody</v>
      </c>
      <c r="D62" s="178"/>
      <c r="E62" s="181"/>
      <c r="K62" s="135">
        <f t="shared" si="11"/>
        <v>27</v>
      </c>
      <c r="L62" s="156" t="str">
        <f t="shared" si="12"/>
        <v> Martinez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Morrison</v>
      </c>
      <c r="D63" s="178"/>
      <c r="E63" s="181"/>
      <c r="K63" s="129">
        <f t="shared" si="11"/>
        <v>27</v>
      </c>
      <c r="L63" s="156" t="str">
        <f t="shared" si="12"/>
        <v> Grissinger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Doody</v>
      </c>
      <c r="D64" s="178"/>
      <c r="E64" s="181"/>
      <c r="K64" s="135">
        <f t="shared" si="11"/>
        <v>28</v>
      </c>
      <c r="L64" s="156" t="str">
        <f t="shared" si="12"/>
        <v> Martinez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Morrison</v>
      </c>
      <c r="D65" s="178"/>
      <c r="E65" s="181"/>
      <c r="K65" s="129">
        <f t="shared" si="11"/>
        <v>28</v>
      </c>
      <c r="L65" s="156" t="str">
        <f t="shared" si="12"/>
        <v> Grissinger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Doody</v>
      </c>
      <c r="D66" s="178"/>
      <c r="E66" s="181"/>
      <c r="K66" s="135">
        <f t="shared" si="11"/>
        <v>29</v>
      </c>
      <c r="L66" s="156" t="str">
        <f t="shared" si="12"/>
        <v> Martinez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Morrison</v>
      </c>
      <c r="D67" s="178"/>
      <c r="E67" s="181"/>
      <c r="K67" s="135">
        <f t="shared" si="11"/>
        <v>29</v>
      </c>
      <c r="L67" s="156" t="str">
        <f t="shared" si="12"/>
        <v> Grissinger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Doody</v>
      </c>
      <c r="D68" s="178"/>
      <c r="E68" s="181"/>
      <c r="K68" s="135">
        <f t="shared" si="11"/>
        <v>30</v>
      </c>
      <c r="L68" s="156" t="str">
        <f t="shared" si="12"/>
        <v> Martinez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Morrison</v>
      </c>
      <c r="D69" s="178"/>
      <c r="E69" s="181"/>
      <c r="K69" s="135">
        <f t="shared" si="11"/>
        <v>30</v>
      </c>
      <c r="L69" s="156" t="str">
        <f t="shared" si="12"/>
        <v> Grissinger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Doody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Martinez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Morrison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Grissinger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Doody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Martinez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Morrison</v>
      </c>
      <c r="D73" s="178"/>
      <c r="E73" s="181"/>
      <c r="K73" s="129">
        <v>32.0</v>
      </c>
      <c r="L73" s="156" t="str">
        <f t="shared" si="12"/>
        <v> Grissinger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Doody</v>
      </c>
      <c r="D74" s="192"/>
      <c r="E74" s="181"/>
      <c r="K74" s="129">
        <v>33.0</v>
      </c>
      <c r="L74" s="156" t="str">
        <f t="shared" si="12"/>
        <v> Martinez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Morrison</v>
      </c>
      <c r="D75" s="178"/>
      <c r="E75" s="181"/>
      <c r="K75" s="129">
        <v>33.0</v>
      </c>
      <c r="L75" s="156" t="str">
        <f t="shared" si="12"/>
        <v> Grissinger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Doody</v>
      </c>
      <c r="D76" s="178"/>
      <c r="E76" s="181"/>
      <c r="K76" s="129">
        <v>34.0</v>
      </c>
      <c r="L76" s="156" t="str">
        <f t="shared" si="12"/>
        <v> Martinez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Morrison</v>
      </c>
      <c r="D77" s="178"/>
      <c r="E77" s="181"/>
      <c r="K77" s="129">
        <v>34.0</v>
      </c>
      <c r="L77" s="156" t="str">
        <f t="shared" si="12"/>
        <v> Grissinger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Doody</v>
      </c>
      <c r="D78" s="178"/>
      <c r="E78" s="181"/>
      <c r="K78" s="129">
        <v>35.0</v>
      </c>
      <c r="L78" s="156" t="str">
        <f t="shared" si="12"/>
        <v> Martinez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Morrison</v>
      </c>
      <c r="D79" s="178"/>
      <c r="E79" s="181"/>
      <c r="K79" s="129">
        <v>35.0</v>
      </c>
      <c r="L79" s="156" t="str">
        <f t="shared" si="12"/>
        <v> Grissinger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Doody</v>
      </c>
      <c r="D80" s="178"/>
      <c r="E80" s="181"/>
      <c r="K80" s="129">
        <v>36.0</v>
      </c>
      <c r="L80" s="156" t="str">
        <f t="shared" si="12"/>
        <v> Martinez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Morrison</v>
      </c>
      <c r="D81" s="178"/>
      <c r="E81" s="181"/>
      <c r="K81" s="129">
        <v>36.0</v>
      </c>
      <c r="L81" s="156" t="str">
        <f t="shared" si="12"/>
        <v> Grissinger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Doody</v>
      </c>
      <c r="D82" s="178"/>
      <c r="E82" s="181"/>
      <c r="K82" s="129">
        <v>37.0</v>
      </c>
      <c r="L82" s="156" t="str">
        <f t="shared" si="12"/>
        <v> Martinez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Morrison</v>
      </c>
      <c r="D83" s="178"/>
      <c r="E83" s="181"/>
      <c r="K83" s="129">
        <v>37.0</v>
      </c>
      <c r="L83" s="156" t="str">
        <f t="shared" si="12"/>
        <v> Grissinger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Doody</v>
      </c>
      <c r="D84" s="178"/>
      <c r="E84" s="181"/>
      <c r="K84" s="129">
        <v>38.0</v>
      </c>
      <c r="L84" s="156" t="str">
        <f t="shared" si="12"/>
        <v> Martinez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Morrison</v>
      </c>
      <c r="D85" s="178"/>
      <c r="E85" s="181"/>
      <c r="K85" s="129">
        <v>38.0</v>
      </c>
      <c r="L85" s="156" t="str">
        <f t="shared" si="12"/>
        <v> Grissinger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Doody</v>
      </c>
      <c r="D86" s="178"/>
      <c r="E86" s="181"/>
      <c r="K86" s="129">
        <v>39.0</v>
      </c>
      <c r="L86" s="156" t="str">
        <f t="shared" si="12"/>
        <v> Martinez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Morrison</v>
      </c>
      <c r="D87" s="178"/>
      <c r="E87" s="181"/>
      <c r="K87" s="129">
        <v>39.0</v>
      </c>
      <c r="L87" s="156" t="str">
        <f t="shared" si="12"/>
        <v> Grissinger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Doody</v>
      </c>
      <c r="D88" s="178"/>
      <c r="E88" s="181"/>
      <c r="K88" s="129">
        <v>40.0</v>
      </c>
      <c r="L88" s="156" t="str">
        <f t="shared" si="12"/>
        <v> Martinez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Morrison</v>
      </c>
      <c r="D89" s="178"/>
      <c r="E89" s="181"/>
      <c r="K89" s="129">
        <v>40.0</v>
      </c>
      <c r="L89" s="156" t="str">
        <f t="shared" si="12"/>
        <v> Grissinger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0.13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117</v>
      </c>
      <c r="D3" s="189">
        <f t="shared" ref="D3:J3" si="1">SUMPRODUCT(D10:D90,MOD(ROW(D10:D90),2)=0)</f>
        <v>19</v>
      </c>
      <c r="E3" s="189">
        <f t="shared" si="1"/>
        <v>1</v>
      </c>
      <c r="F3" s="189">
        <f t="shared" si="1"/>
        <v>0</v>
      </c>
      <c r="G3" s="189">
        <f t="shared" si="1"/>
        <v>2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109</v>
      </c>
      <c r="M3" s="189">
        <f t="shared" ref="M3:S3" si="2">SUMPRODUCT(M10:M90,MOD(ROW(M10:M90),2)=0)</f>
        <v>13</v>
      </c>
      <c r="N3" s="189">
        <f t="shared" si="2"/>
        <v>6</v>
      </c>
      <c r="O3" s="189">
        <f t="shared" si="2"/>
        <v>0</v>
      </c>
      <c r="P3" s="189">
        <f t="shared" si="2"/>
        <v>1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102</v>
      </c>
      <c r="D4" s="191">
        <f t="shared" ref="D4:J4" si="3">SUMPRODUCT(D10:D90,MOD(ROW(D10:D90),2))</f>
        <v>14</v>
      </c>
      <c r="E4" s="191">
        <f t="shared" si="3"/>
        <v>6</v>
      </c>
      <c r="F4" s="191">
        <f t="shared" si="3"/>
        <v>3</v>
      </c>
      <c r="G4" s="191">
        <f t="shared" si="3"/>
        <v>2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87</v>
      </c>
      <c r="M4" s="191">
        <f t="shared" ref="M4:S4" si="4">SUMPRODUCT(M10:M90,MOD(ROW(M10:M90),2))</f>
        <v>14</v>
      </c>
      <c r="N4" s="191">
        <f t="shared" si="4"/>
        <v>4</v>
      </c>
      <c r="O4" s="191">
        <f t="shared" si="4"/>
        <v>4</v>
      </c>
      <c r="P4" s="191">
        <f t="shared" si="4"/>
        <v>2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Keith %</v>
      </c>
      <c r="D5" s="137">
        <f t="shared" ref="D5:D6" si="6">IFERROR((E3/(E3+D3)),0)</f>
        <v>0.05</v>
      </c>
      <c r="K5" s="135"/>
      <c r="L5" s="136" t="str">
        <f t="shared" ref="L5:L6" si="7">IFERROR((L10 &amp;" %"), "")</f>
        <v>Cestero %</v>
      </c>
      <c r="M5" s="137">
        <f t="shared" ref="M5:M6" si="8">IFERROR((N3/(N3+M3)),0)</f>
        <v>0.3157894737</v>
      </c>
      <c r="S5" s="132"/>
      <c r="T5" s="132"/>
      <c r="U5" s="7"/>
    </row>
    <row r="6">
      <c r="A6" s="14"/>
      <c r="B6" s="138"/>
      <c r="C6" s="139" t="str">
        <f t="shared" si="5"/>
        <v>Bello %</v>
      </c>
      <c r="D6" s="140">
        <f t="shared" si="6"/>
        <v>0.3</v>
      </c>
      <c r="E6" s="141"/>
      <c r="F6" s="141"/>
      <c r="G6" s="141"/>
      <c r="H6" s="141"/>
      <c r="I6" s="141"/>
      <c r="J6" s="141"/>
      <c r="K6" s="138"/>
      <c r="L6" s="139" t="str">
        <f t="shared" si="7"/>
        <v>Messina %</v>
      </c>
      <c r="M6" s="142">
        <f t="shared" si="8"/>
        <v>0.2222222222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">
        <v>191</v>
      </c>
      <c r="D10" s="180">
        <v>1.0</v>
      </c>
      <c r="E10" s="181"/>
      <c r="F10" s="136"/>
      <c r="G10" s="136"/>
      <c r="K10" s="129">
        <v>1.0</v>
      </c>
      <c r="L10" s="136" t="s">
        <v>194</v>
      </c>
      <c r="M10" s="180"/>
      <c r="N10" s="179">
        <v>1.0</v>
      </c>
      <c r="P10" s="186"/>
      <c r="T10" s="132"/>
      <c r="U10" s="7"/>
    </row>
    <row r="11">
      <c r="A11" s="8"/>
      <c r="B11" s="129">
        <v>1.0</v>
      </c>
      <c r="C11" s="136" t="s">
        <v>189</v>
      </c>
      <c r="D11" s="180">
        <v>1.0</v>
      </c>
      <c r="E11" s="179"/>
      <c r="K11" s="129">
        <v>1.0</v>
      </c>
      <c r="L11" s="136" t="s">
        <v>195</v>
      </c>
      <c r="M11" s="180">
        <v>1.0</v>
      </c>
      <c r="N11" s="179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Keith</v>
      </c>
      <c r="D12" s="180">
        <v>1.0</v>
      </c>
      <c r="E12" s="179"/>
      <c r="K12" s="129">
        <f t="shared" ref="K12:K69" si="11">K10+1</f>
        <v>2</v>
      </c>
      <c r="L12" s="156" t="str">
        <f t="shared" ref="L12:L89" si="12">L10</f>
        <v>Cestero</v>
      </c>
      <c r="M12" s="180"/>
      <c r="N12" s="179">
        <v>1.0</v>
      </c>
      <c r="T12" s="132"/>
      <c r="U12" s="7"/>
    </row>
    <row r="13">
      <c r="A13" s="14"/>
      <c r="B13" s="135">
        <f t="shared" si="9"/>
        <v>2</v>
      </c>
      <c r="C13" s="156" t="str">
        <f t="shared" si="10"/>
        <v>Bello</v>
      </c>
      <c r="D13" s="180">
        <v>1.0</v>
      </c>
      <c r="E13" s="179"/>
      <c r="F13" s="136">
        <v>1.0</v>
      </c>
      <c r="K13" s="135">
        <f t="shared" si="11"/>
        <v>2</v>
      </c>
      <c r="L13" s="156" t="str">
        <f t="shared" si="12"/>
        <v>Messina</v>
      </c>
      <c r="M13" s="180">
        <v>1.0</v>
      </c>
      <c r="N13" s="181"/>
      <c r="O13" s="136">
        <v>1.0</v>
      </c>
      <c r="T13" s="132"/>
      <c r="U13" s="7"/>
    </row>
    <row r="14">
      <c r="A14" s="8"/>
      <c r="B14" s="129">
        <f t="shared" si="9"/>
        <v>3</v>
      </c>
      <c r="C14" s="156" t="str">
        <f t="shared" si="10"/>
        <v>Keith</v>
      </c>
      <c r="D14" s="180">
        <v>1.0</v>
      </c>
      <c r="E14" s="179"/>
      <c r="K14" s="129">
        <f t="shared" si="11"/>
        <v>3</v>
      </c>
      <c r="L14" s="156" t="str">
        <f t="shared" si="12"/>
        <v>Cestero</v>
      </c>
      <c r="M14" s="180">
        <v>1.0</v>
      </c>
      <c r="N14" s="181"/>
      <c r="T14" s="132"/>
      <c r="U14" s="7"/>
    </row>
    <row r="15">
      <c r="A15" s="14"/>
      <c r="B15" s="135">
        <f t="shared" si="9"/>
        <v>3</v>
      </c>
      <c r="C15" s="156" t="str">
        <f t="shared" si="10"/>
        <v>Bello</v>
      </c>
      <c r="D15" s="180">
        <v>1.0</v>
      </c>
      <c r="E15" s="179"/>
      <c r="K15" s="135">
        <f t="shared" si="11"/>
        <v>3</v>
      </c>
      <c r="L15" s="156" t="str">
        <f t="shared" si="12"/>
        <v>Messina</v>
      </c>
      <c r="M15" s="180">
        <v>1.0</v>
      </c>
      <c r="N15" s="181"/>
      <c r="T15" s="132"/>
      <c r="U15" s="7"/>
    </row>
    <row r="16">
      <c r="A16" s="8"/>
      <c r="B16" s="129">
        <f t="shared" si="9"/>
        <v>4</v>
      </c>
      <c r="C16" s="156" t="str">
        <f t="shared" si="10"/>
        <v>Keith</v>
      </c>
      <c r="D16" s="180">
        <v>1.0</v>
      </c>
      <c r="E16" s="181"/>
      <c r="K16" s="129">
        <f t="shared" si="11"/>
        <v>4</v>
      </c>
      <c r="L16" s="156" t="str">
        <f t="shared" si="12"/>
        <v>Cestero</v>
      </c>
      <c r="M16" s="180"/>
      <c r="N16" s="179">
        <v>1.0</v>
      </c>
      <c r="T16" s="132"/>
      <c r="U16" s="7"/>
    </row>
    <row r="17">
      <c r="A17" s="14"/>
      <c r="B17" s="135">
        <f t="shared" si="9"/>
        <v>4</v>
      </c>
      <c r="C17" s="156" t="str">
        <f t="shared" si="10"/>
        <v>Bello</v>
      </c>
      <c r="D17" s="180">
        <v>1.0</v>
      </c>
      <c r="E17" s="179"/>
      <c r="K17" s="135">
        <f t="shared" si="11"/>
        <v>4</v>
      </c>
      <c r="L17" s="156" t="str">
        <f t="shared" si="12"/>
        <v>Messina</v>
      </c>
      <c r="M17" s="180">
        <v>1.0</v>
      </c>
      <c r="N17" s="179"/>
      <c r="O17" s="136">
        <v>1.0</v>
      </c>
      <c r="T17" s="132"/>
      <c r="U17" s="7"/>
    </row>
    <row r="18">
      <c r="A18" s="8"/>
      <c r="B18" s="129">
        <f t="shared" si="9"/>
        <v>5</v>
      </c>
      <c r="C18" s="156" t="str">
        <f t="shared" si="10"/>
        <v>Keith</v>
      </c>
      <c r="D18" s="180">
        <v>1.0</v>
      </c>
      <c r="E18" s="179"/>
      <c r="K18" s="129">
        <f t="shared" si="11"/>
        <v>5</v>
      </c>
      <c r="L18" s="156" t="str">
        <f t="shared" si="12"/>
        <v>Cestero</v>
      </c>
      <c r="M18" s="180">
        <v>1.0</v>
      </c>
      <c r="N18" s="181"/>
      <c r="T18" s="132"/>
      <c r="U18" s="7"/>
    </row>
    <row r="19">
      <c r="A19" s="14"/>
      <c r="B19" s="135">
        <f t="shared" si="9"/>
        <v>5</v>
      </c>
      <c r="C19" s="156" t="str">
        <f t="shared" si="10"/>
        <v>Bello</v>
      </c>
      <c r="D19" s="180">
        <v>1.0</v>
      </c>
      <c r="E19" s="181"/>
      <c r="K19" s="135">
        <f t="shared" si="11"/>
        <v>5</v>
      </c>
      <c r="L19" s="156" t="str">
        <f t="shared" si="12"/>
        <v>Messina</v>
      </c>
      <c r="M19" s="180">
        <v>1.0</v>
      </c>
      <c r="N19" s="179"/>
      <c r="T19" s="132"/>
      <c r="U19" s="7"/>
    </row>
    <row r="20">
      <c r="A20" s="8"/>
      <c r="B20" s="129">
        <f t="shared" si="9"/>
        <v>6</v>
      </c>
      <c r="C20" s="156" t="str">
        <f t="shared" si="10"/>
        <v>Keith</v>
      </c>
      <c r="D20" s="180">
        <v>1.0</v>
      </c>
      <c r="E20" s="179"/>
      <c r="K20" s="129">
        <f t="shared" si="11"/>
        <v>6</v>
      </c>
      <c r="L20" s="156" t="str">
        <f t="shared" si="12"/>
        <v>Cestero</v>
      </c>
      <c r="M20" s="180">
        <v>1.0</v>
      </c>
      <c r="N20" s="181"/>
      <c r="T20" s="132"/>
      <c r="U20" s="7"/>
    </row>
    <row r="21">
      <c r="A21" s="14"/>
      <c r="B21" s="135">
        <f t="shared" si="9"/>
        <v>6</v>
      </c>
      <c r="C21" s="156" t="str">
        <f t="shared" si="10"/>
        <v>Bello</v>
      </c>
      <c r="D21" s="180">
        <v>1.0</v>
      </c>
      <c r="E21" s="181"/>
      <c r="F21" s="136">
        <v>1.0</v>
      </c>
      <c r="K21" s="135">
        <f t="shared" si="11"/>
        <v>6</v>
      </c>
      <c r="L21" s="156" t="str">
        <f t="shared" si="12"/>
        <v>Messina</v>
      </c>
      <c r="M21" s="180">
        <v>1.0</v>
      </c>
      <c r="N21" s="181"/>
      <c r="T21" s="132"/>
      <c r="U21" s="7"/>
    </row>
    <row r="22">
      <c r="A22" s="8"/>
      <c r="B22" s="129">
        <f t="shared" si="9"/>
        <v>7</v>
      </c>
      <c r="C22" s="156" t="str">
        <f t="shared" si="10"/>
        <v>Keith</v>
      </c>
      <c r="D22" s="180">
        <v>1.0</v>
      </c>
      <c r="E22" s="181"/>
      <c r="G22" s="136">
        <v>1.0</v>
      </c>
      <c r="K22" s="129">
        <f t="shared" si="11"/>
        <v>7</v>
      </c>
      <c r="L22" s="156" t="str">
        <f t="shared" si="12"/>
        <v>Cestero</v>
      </c>
      <c r="M22" s="180">
        <v>1.0</v>
      </c>
      <c r="N22" s="181"/>
      <c r="P22" s="136">
        <v>1.0</v>
      </c>
      <c r="T22" s="132"/>
      <c r="U22" s="7"/>
    </row>
    <row r="23">
      <c r="A23" s="14"/>
      <c r="B23" s="135">
        <f t="shared" si="9"/>
        <v>7</v>
      </c>
      <c r="C23" s="156" t="str">
        <f t="shared" si="10"/>
        <v>Bello</v>
      </c>
      <c r="D23" s="180">
        <v>1.0</v>
      </c>
      <c r="E23" s="181"/>
      <c r="F23" s="136">
        <v>1.0</v>
      </c>
      <c r="K23" s="135">
        <f t="shared" si="11"/>
        <v>7</v>
      </c>
      <c r="L23" s="156" t="str">
        <f t="shared" si="12"/>
        <v>Messina</v>
      </c>
      <c r="M23" s="180">
        <v>1.0</v>
      </c>
      <c r="N23" s="181"/>
      <c r="O23" s="136">
        <v>1.0</v>
      </c>
      <c r="T23" s="132"/>
      <c r="U23" s="7"/>
    </row>
    <row r="24">
      <c r="A24" s="8"/>
      <c r="B24" s="129">
        <f t="shared" si="9"/>
        <v>8</v>
      </c>
      <c r="C24" s="156" t="str">
        <f t="shared" si="10"/>
        <v>Keith</v>
      </c>
      <c r="D24" s="180">
        <v>1.0</v>
      </c>
      <c r="E24" s="179"/>
      <c r="K24" s="129">
        <f t="shared" si="11"/>
        <v>8</v>
      </c>
      <c r="L24" s="156" t="str">
        <f t="shared" si="12"/>
        <v>Cestero</v>
      </c>
      <c r="M24" s="180">
        <v>1.0</v>
      </c>
      <c r="N24" s="181"/>
      <c r="T24" s="132"/>
      <c r="U24" s="7"/>
    </row>
    <row r="25">
      <c r="A25" s="14"/>
      <c r="B25" s="135">
        <f t="shared" si="9"/>
        <v>8</v>
      </c>
      <c r="C25" s="156" t="str">
        <f t="shared" si="10"/>
        <v>Bello</v>
      </c>
      <c r="D25" s="180"/>
      <c r="E25" s="179">
        <v>1.0</v>
      </c>
      <c r="K25" s="135">
        <f t="shared" si="11"/>
        <v>8</v>
      </c>
      <c r="L25" s="156" t="str">
        <f t="shared" si="12"/>
        <v>Messina</v>
      </c>
      <c r="M25" s="178"/>
      <c r="N25" s="179">
        <v>1.0</v>
      </c>
      <c r="T25" s="132"/>
      <c r="U25" s="7"/>
    </row>
    <row r="26">
      <c r="A26" s="8"/>
      <c r="B26" s="129">
        <f t="shared" si="9"/>
        <v>9</v>
      </c>
      <c r="C26" s="156" t="str">
        <f t="shared" si="10"/>
        <v>Keith</v>
      </c>
      <c r="D26" s="180">
        <v>1.0</v>
      </c>
      <c r="E26" s="181"/>
      <c r="K26" s="129">
        <f t="shared" si="11"/>
        <v>9</v>
      </c>
      <c r="L26" s="156" t="str">
        <f t="shared" si="12"/>
        <v>Cestero</v>
      </c>
      <c r="M26" s="180">
        <v>1.0</v>
      </c>
      <c r="N26" s="181"/>
      <c r="T26" s="132"/>
      <c r="U26" s="7"/>
    </row>
    <row r="27">
      <c r="A27" s="14"/>
      <c r="B27" s="135">
        <f t="shared" si="9"/>
        <v>9</v>
      </c>
      <c r="C27" s="156" t="str">
        <f t="shared" si="10"/>
        <v>Bello</v>
      </c>
      <c r="D27" s="180"/>
      <c r="E27" s="179">
        <v>1.0</v>
      </c>
      <c r="K27" s="135">
        <f t="shared" si="11"/>
        <v>9</v>
      </c>
      <c r="L27" s="156" t="str">
        <f t="shared" si="12"/>
        <v>Messina</v>
      </c>
      <c r="M27" s="180">
        <v>1.0</v>
      </c>
      <c r="N27" s="181"/>
      <c r="T27" s="132"/>
      <c r="U27" s="7"/>
    </row>
    <row r="28">
      <c r="A28" s="8"/>
      <c r="B28" s="129">
        <f t="shared" si="9"/>
        <v>10</v>
      </c>
      <c r="C28" s="156" t="str">
        <f t="shared" si="10"/>
        <v>Keith</v>
      </c>
      <c r="D28" s="180">
        <v>1.0</v>
      </c>
      <c r="E28" s="181"/>
      <c r="G28" s="136">
        <v>1.0</v>
      </c>
      <c r="K28" s="129">
        <f t="shared" si="11"/>
        <v>10</v>
      </c>
      <c r="L28" s="156" t="str">
        <f t="shared" si="12"/>
        <v>Cestero</v>
      </c>
      <c r="M28" s="180">
        <v>1.0</v>
      </c>
      <c r="N28" s="181"/>
      <c r="T28" s="132"/>
      <c r="U28" s="7"/>
    </row>
    <row r="29">
      <c r="A29" s="14"/>
      <c r="B29" s="135">
        <f t="shared" si="9"/>
        <v>10</v>
      </c>
      <c r="C29" s="156" t="str">
        <f t="shared" si="10"/>
        <v>Bello</v>
      </c>
      <c r="D29" s="180"/>
      <c r="E29" s="179">
        <v>1.0</v>
      </c>
      <c r="K29" s="135">
        <f t="shared" si="11"/>
        <v>10</v>
      </c>
      <c r="L29" s="156" t="str">
        <f t="shared" si="12"/>
        <v>Messina</v>
      </c>
      <c r="M29" s="180">
        <v>1.0</v>
      </c>
      <c r="N29" s="181"/>
      <c r="T29" s="132"/>
      <c r="U29" s="7"/>
    </row>
    <row r="30">
      <c r="A30" s="8"/>
      <c r="B30" s="129">
        <f t="shared" si="9"/>
        <v>11</v>
      </c>
      <c r="C30" s="156" t="str">
        <f t="shared" si="10"/>
        <v>Keith</v>
      </c>
      <c r="D30" s="180">
        <v>1.0</v>
      </c>
      <c r="E30" s="181"/>
      <c r="K30" s="129">
        <f t="shared" si="11"/>
        <v>11</v>
      </c>
      <c r="L30" s="156" t="str">
        <f t="shared" si="12"/>
        <v>Cestero</v>
      </c>
      <c r="M30" s="180">
        <v>1.0</v>
      </c>
      <c r="N30" s="181"/>
      <c r="T30" s="132"/>
      <c r="U30" s="7"/>
    </row>
    <row r="31">
      <c r="A31" s="14"/>
      <c r="B31" s="135">
        <f t="shared" si="9"/>
        <v>11</v>
      </c>
      <c r="C31" s="156" t="str">
        <f t="shared" si="10"/>
        <v>Bello</v>
      </c>
      <c r="D31" s="180"/>
      <c r="E31" s="179">
        <v>1.0</v>
      </c>
      <c r="K31" s="135">
        <f t="shared" si="11"/>
        <v>11</v>
      </c>
      <c r="L31" s="156" t="str">
        <f t="shared" si="12"/>
        <v>Messina</v>
      </c>
      <c r="M31" s="178"/>
      <c r="N31" s="179">
        <v>1.0</v>
      </c>
      <c r="T31" s="132"/>
      <c r="U31" s="7"/>
    </row>
    <row r="32">
      <c r="A32" s="8"/>
      <c r="B32" s="129">
        <f t="shared" si="9"/>
        <v>12</v>
      </c>
      <c r="C32" s="156" t="str">
        <f t="shared" si="10"/>
        <v>Keith</v>
      </c>
      <c r="D32" s="180">
        <v>1.0</v>
      </c>
      <c r="E32" s="181"/>
      <c r="K32" s="129">
        <f t="shared" si="11"/>
        <v>12</v>
      </c>
      <c r="L32" s="156" t="str">
        <f t="shared" si="12"/>
        <v>Cestero</v>
      </c>
      <c r="M32" s="180"/>
      <c r="N32" s="179">
        <v>1.0</v>
      </c>
      <c r="T32" s="132"/>
      <c r="U32" s="7"/>
    </row>
    <row r="33">
      <c r="A33" s="14"/>
      <c r="B33" s="135">
        <f t="shared" si="9"/>
        <v>12</v>
      </c>
      <c r="C33" s="156" t="str">
        <f t="shared" si="10"/>
        <v>Bello</v>
      </c>
      <c r="D33" s="180">
        <v>1.0</v>
      </c>
      <c r="E33" s="181"/>
      <c r="K33" s="135">
        <f t="shared" si="11"/>
        <v>12</v>
      </c>
      <c r="L33" s="156" t="str">
        <f t="shared" si="12"/>
        <v>Messina</v>
      </c>
      <c r="M33" s="180">
        <v>1.0</v>
      </c>
      <c r="N33" s="179"/>
      <c r="O33" s="136">
        <v>1.0</v>
      </c>
      <c r="T33" s="132"/>
      <c r="U33" s="7"/>
    </row>
    <row r="34">
      <c r="A34" s="8"/>
      <c r="B34" s="129">
        <f t="shared" si="9"/>
        <v>13</v>
      </c>
      <c r="C34" s="156" t="str">
        <f t="shared" si="10"/>
        <v>Keith</v>
      </c>
      <c r="D34" s="180">
        <v>1.0</v>
      </c>
      <c r="E34" s="181"/>
      <c r="K34" s="129">
        <f t="shared" si="11"/>
        <v>13</v>
      </c>
      <c r="L34" s="156" t="str">
        <f t="shared" si="12"/>
        <v>Cestero</v>
      </c>
      <c r="M34" s="180"/>
      <c r="N34" s="179">
        <v>1.0</v>
      </c>
      <c r="T34" s="132"/>
      <c r="U34" s="7"/>
    </row>
    <row r="35">
      <c r="A35" s="14"/>
      <c r="B35" s="135">
        <f t="shared" si="9"/>
        <v>13</v>
      </c>
      <c r="C35" s="156" t="str">
        <f t="shared" si="10"/>
        <v>Bello</v>
      </c>
      <c r="D35" s="180">
        <v>1.0</v>
      </c>
      <c r="E35" s="181"/>
      <c r="K35" s="135">
        <f t="shared" si="11"/>
        <v>13</v>
      </c>
      <c r="L35" s="156" t="str">
        <f t="shared" si="12"/>
        <v>Messina</v>
      </c>
      <c r="M35" s="180">
        <v>1.0</v>
      </c>
      <c r="N35" s="181"/>
      <c r="T35" s="132"/>
      <c r="U35" s="7"/>
    </row>
    <row r="36">
      <c r="A36" s="8"/>
      <c r="B36" s="129">
        <f t="shared" si="9"/>
        <v>14</v>
      </c>
      <c r="C36" s="156" t="str">
        <f t="shared" si="10"/>
        <v>Keith</v>
      </c>
      <c r="D36" s="180">
        <v>1.0</v>
      </c>
      <c r="E36" s="181"/>
      <c r="K36" s="129">
        <f t="shared" si="11"/>
        <v>14</v>
      </c>
      <c r="L36" s="156" t="str">
        <f t="shared" si="12"/>
        <v>Cestero</v>
      </c>
      <c r="M36" s="180">
        <v>1.0</v>
      </c>
      <c r="N36" s="181"/>
      <c r="T36" s="132"/>
      <c r="U36" s="7"/>
    </row>
    <row r="37">
      <c r="A37" s="14"/>
      <c r="B37" s="135">
        <f t="shared" si="9"/>
        <v>14</v>
      </c>
      <c r="C37" s="156" t="str">
        <f t="shared" si="10"/>
        <v>Bello</v>
      </c>
      <c r="D37" s="180"/>
      <c r="E37" s="179">
        <v>1.0</v>
      </c>
      <c r="K37" s="135">
        <f t="shared" si="11"/>
        <v>14</v>
      </c>
      <c r="L37" s="156" t="str">
        <f t="shared" si="12"/>
        <v>Messina</v>
      </c>
      <c r="M37" s="180">
        <v>1.0</v>
      </c>
      <c r="N37" s="181"/>
      <c r="T37" s="132"/>
      <c r="U37" s="7"/>
    </row>
    <row r="38">
      <c r="A38" s="8"/>
      <c r="B38" s="129">
        <f t="shared" si="9"/>
        <v>15</v>
      </c>
      <c r="C38" s="156" t="str">
        <f t="shared" si="10"/>
        <v>Keith</v>
      </c>
      <c r="D38" s="180">
        <v>1.0</v>
      </c>
      <c r="E38" s="181"/>
      <c r="K38" s="129">
        <f t="shared" si="11"/>
        <v>15</v>
      </c>
      <c r="L38" s="156" t="str">
        <f t="shared" si="12"/>
        <v>Cestero</v>
      </c>
      <c r="M38" s="180">
        <v>1.0</v>
      </c>
      <c r="N38" s="181"/>
      <c r="T38" s="132"/>
      <c r="U38" s="7"/>
    </row>
    <row r="39">
      <c r="A39" s="14"/>
      <c r="B39" s="135">
        <f t="shared" si="9"/>
        <v>15</v>
      </c>
      <c r="C39" s="156" t="str">
        <f t="shared" si="10"/>
        <v>Bello</v>
      </c>
      <c r="D39" s="180"/>
      <c r="E39" s="179">
        <v>1.0</v>
      </c>
      <c r="K39" s="135">
        <f t="shared" si="11"/>
        <v>15</v>
      </c>
      <c r="L39" s="156" t="str">
        <f t="shared" si="12"/>
        <v>Messina</v>
      </c>
      <c r="M39" s="180"/>
      <c r="N39" s="179">
        <v>1.0</v>
      </c>
      <c r="T39" s="132"/>
      <c r="U39" s="7"/>
    </row>
    <row r="40">
      <c r="A40" s="8"/>
      <c r="B40" s="129">
        <f t="shared" si="9"/>
        <v>16</v>
      </c>
      <c r="C40" s="156" t="str">
        <f t="shared" si="10"/>
        <v>Keith</v>
      </c>
      <c r="D40" s="180">
        <v>1.0</v>
      </c>
      <c r="E40" s="179"/>
      <c r="K40" s="129">
        <f t="shared" si="11"/>
        <v>16</v>
      </c>
      <c r="L40" s="156" t="str">
        <f t="shared" si="12"/>
        <v>Cestero</v>
      </c>
      <c r="M40" s="180">
        <v>1.0</v>
      </c>
      <c r="N40" s="181"/>
      <c r="T40" s="132"/>
      <c r="U40" s="7"/>
    </row>
    <row r="41">
      <c r="A41" s="14"/>
      <c r="B41" s="135">
        <f t="shared" si="9"/>
        <v>16</v>
      </c>
      <c r="C41" s="156" t="str">
        <f t="shared" si="10"/>
        <v>Bello</v>
      </c>
      <c r="D41" s="180">
        <v>1.0</v>
      </c>
      <c r="E41" s="181"/>
      <c r="K41" s="135">
        <f t="shared" si="11"/>
        <v>16</v>
      </c>
      <c r="L41" s="156" t="str">
        <f t="shared" si="12"/>
        <v>Messina</v>
      </c>
      <c r="M41" s="178"/>
      <c r="N41" s="179">
        <v>1.0</v>
      </c>
      <c r="T41" s="132"/>
      <c r="U41" s="7"/>
    </row>
    <row r="42">
      <c r="A42" s="8"/>
      <c r="B42" s="129">
        <f t="shared" si="9"/>
        <v>17</v>
      </c>
      <c r="C42" s="156" t="str">
        <f t="shared" si="10"/>
        <v>Keith</v>
      </c>
      <c r="D42" s="180">
        <v>1.0</v>
      </c>
      <c r="E42" s="181"/>
      <c r="K42" s="129">
        <f t="shared" si="11"/>
        <v>17</v>
      </c>
      <c r="L42" s="156" t="str">
        <f t="shared" si="12"/>
        <v>Cestero</v>
      </c>
      <c r="M42" s="180">
        <v>1.0</v>
      </c>
      <c r="N42" s="181"/>
      <c r="T42" s="132"/>
      <c r="U42" s="7"/>
    </row>
    <row r="43">
      <c r="A43" s="14"/>
      <c r="B43" s="135">
        <f t="shared" si="9"/>
        <v>17</v>
      </c>
      <c r="C43" s="156" t="str">
        <f t="shared" si="10"/>
        <v>Bello</v>
      </c>
      <c r="D43" s="180">
        <v>1.0</v>
      </c>
      <c r="E43" s="179"/>
      <c r="G43" s="136">
        <v>1.0</v>
      </c>
      <c r="K43" s="135">
        <f t="shared" si="11"/>
        <v>17</v>
      </c>
      <c r="L43" s="156" t="str">
        <f t="shared" si="12"/>
        <v>Messina</v>
      </c>
      <c r="M43" s="180">
        <v>1.0</v>
      </c>
      <c r="N43" s="181"/>
      <c r="P43" s="136">
        <v>1.0</v>
      </c>
      <c r="T43" s="132"/>
      <c r="U43" s="7"/>
    </row>
    <row r="44">
      <c r="A44" s="8"/>
      <c r="B44" s="129">
        <f t="shared" si="9"/>
        <v>18</v>
      </c>
      <c r="C44" s="156" t="str">
        <f t="shared" si="10"/>
        <v>Keith</v>
      </c>
      <c r="D44" s="180"/>
      <c r="E44" s="179">
        <v>1.0</v>
      </c>
      <c r="K44" s="129">
        <f t="shared" si="11"/>
        <v>18</v>
      </c>
      <c r="L44" s="156" t="str">
        <f t="shared" si="12"/>
        <v>Cestero</v>
      </c>
      <c r="M44" s="180">
        <v>1.0</v>
      </c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Bello</v>
      </c>
      <c r="D45" s="180">
        <v>1.0</v>
      </c>
      <c r="E45" s="181"/>
      <c r="K45" s="129">
        <f t="shared" si="11"/>
        <v>18</v>
      </c>
      <c r="L45" s="156" t="str">
        <f t="shared" si="12"/>
        <v>Messina</v>
      </c>
      <c r="M45" s="180">
        <v>1.0</v>
      </c>
      <c r="N45" s="181"/>
      <c r="P45" s="136">
        <v>1.0</v>
      </c>
      <c r="T45" s="132"/>
      <c r="U45" s="7"/>
    </row>
    <row r="46">
      <c r="A46" s="14"/>
      <c r="B46" s="135">
        <f t="shared" si="9"/>
        <v>19</v>
      </c>
      <c r="C46" s="156" t="str">
        <f t="shared" si="10"/>
        <v>Keith</v>
      </c>
      <c r="D46" s="180">
        <v>1.0</v>
      </c>
      <c r="E46" s="181"/>
      <c r="K46" s="135">
        <f t="shared" si="11"/>
        <v>19</v>
      </c>
      <c r="L46" s="156" t="str">
        <f t="shared" si="12"/>
        <v>Cestero</v>
      </c>
      <c r="M46" s="180"/>
      <c r="N46" s="179">
        <v>1.0</v>
      </c>
      <c r="T46" s="132"/>
      <c r="U46" s="7"/>
    </row>
    <row r="47">
      <c r="A47" s="8"/>
      <c r="B47" s="129">
        <f t="shared" si="9"/>
        <v>19</v>
      </c>
      <c r="C47" s="156" t="str">
        <f t="shared" si="10"/>
        <v>Bello</v>
      </c>
      <c r="D47" s="180">
        <v>1.0</v>
      </c>
      <c r="E47" s="181"/>
      <c r="K47" s="129">
        <f t="shared" si="11"/>
        <v>19</v>
      </c>
      <c r="L47" s="156" t="str">
        <f t="shared" si="12"/>
        <v>Messina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Keith</v>
      </c>
      <c r="D48" s="180">
        <v>1.0</v>
      </c>
      <c r="E48" s="181"/>
      <c r="F48" s="136" t="s">
        <v>196</v>
      </c>
      <c r="K48" s="135">
        <f t="shared" si="11"/>
        <v>20</v>
      </c>
      <c r="L48" s="156" t="str">
        <f t="shared" si="12"/>
        <v>Cestero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Bello</v>
      </c>
      <c r="D49" s="180">
        <v>1.0</v>
      </c>
      <c r="E49" s="179"/>
      <c r="F49" s="136" t="s">
        <v>196</v>
      </c>
      <c r="G49" s="136">
        <v>1.0</v>
      </c>
      <c r="K49" s="129">
        <f t="shared" si="11"/>
        <v>20</v>
      </c>
      <c r="L49" s="156" t="str">
        <f t="shared" si="12"/>
        <v>Messina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Keith</v>
      </c>
      <c r="D50" s="180"/>
      <c r="E50" s="181"/>
      <c r="K50" s="129">
        <f t="shared" si="11"/>
        <v>21</v>
      </c>
      <c r="L50" s="156" t="str">
        <f t="shared" si="12"/>
        <v>Cestero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Bello</v>
      </c>
      <c r="D51" s="180"/>
      <c r="E51" s="181"/>
      <c r="K51" s="135">
        <f t="shared" si="11"/>
        <v>21</v>
      </c>
      <c r="L51" s="156" t="str">
        <f t="shared" si="12"/>
        <v>Messina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Keith</v>
      </c>
      <c r="D52" s="178"/>
      <c r="E52" s="181"/>
      <c r="K52" s="129">
        <f t="shared" si="11"/>
        <v>22</v>
      </c>
      <c r="L52" s="156" t="str">
        <f t="shared" si="12"/>
        <v>Cestero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Bello</v>
      </c>
      <c r="D53" s="178"/>
      <c r="E53" s="181"/>
      <c r="K53" s="135">
        <f t="shared" si="11"/>
        <v>22</v>
      </c>
      <c r="L53" s="156" t="str">
        <f t="shared" si="12"/>
        <v>Messina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Keith</v>
      </c>
      <c r="D54" s="178"/>
      <c r="E54" s="181"/>
      <c r="K54" s="129">
        <f t="shared" si="11"/>
        <v>23</v>
      </c>
      <c r="L54" s="156" t="str">
        <f t="shared" si="12"/>
        <v>Cestero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Bello</v>
      </c>
      <c r="D55" s="178"/>
      <c r="E55" s="181"/>
      <c r="K55" s="135">
        <f t="shared" si="11"/>
        <v>23</v>
      </c>
      <c r="L55" s="156" t="str">
        <f t="shared" si="12"/>
        <v>Messina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Keith</v>
      </c>
      <c r="D56" s="178"/>
      <c r="E56" s="181"/>
      <c r="K56" s="129">
        <f t="shared" si="11"/>
        <v>24</v>
      </c>
      <c r="L56" s="156" t="str">
        <f t="shared" si="12"/>
        <v>Cestero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Bello</v>
      </c>
      <c r="D57" s="178"/>
      <c r="E57" s="181"/>
      <c r="K57" s="129">
        <f t="shared" si="11"/>
        <v>24</v>
      </c>
      <c r="L57" s="156" t="str">
        <f t="shared" si="12"/>
        <v>Messina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Keith</v>
      </c>
      <c r="D58" s="178"/>
      <c r="E58" s="181"/>
      <c r="K58" s="135">
        <f t="shared" si="11"/>
        <v>25</v>
      </c>
      <c r="L58" s="156" t="str">
        <f t="shared" si="12"/>
        <v>Cestero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Bello</v>
      </c>
      <c r="D59" s="178"/>
      <c r="E59" s="181"/>
      <c r="K59" s="129">
        <f t="shared" si="11"/>
        <v>25</v>
      </c>
      <c r="L59" s="156" t="str">
        <f t="shared" si="12"/>
        <v>Messina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Keith</v>
      </c>
      <c r="D60" s="178"/>
      <c r="E60" s="181"/>
      <c r="K60" s="135">
        <f t="shared" si="11"/>
        <v>26</v>
      </c>
      <c r="L60" s="156" t="str">
        <f t="shared" si="12"/>
        <v>Cestero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Bello</v>
      </c>
      <c r="D61" s="178"/>
      <c r="E61" s="181"/>
      <c r="K61" s="129">
        <f t="shared" si="11"/>
        <v>26</v>
      </c>
      <c r="L61" s="156" t="str">
        <f t="shared" si="12"/>
        <v>Messina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Keith</v>
      </c>
      <c r="D62" s="178"/>
      <c r="E62" s="181"/>
      <c r="K62" s="135">
        <f t="shared" si="11"/>
        <v>27</v>
      </c>
      <c r="L62" s="156" t="str">
        <f t="shared" si="12"/>
        <v>Cestero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Bello</v>
      </c>
      <c r="D63" s="178"/>
      <c r="E63" s="181"/>
      <c r="K63" s="129">
        <f t="shared" si="11"/>
        <v>27</v>
      </c>
      <c r="L63" s="156" t="str">
        <f t="shared" si="12"/>
        <v>Messina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Keith</v>
      </c>
      <c r="D64" s="178"/>
      <c r="E64" s="181"/>
      <c r="K64" s="135">
        <f t="shared" si="11"/>
        <v>28</v>
      </c>
      <c r="L64" s="156" t="str">
        <f t="shared" si="12"/>
        <v>Cestero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Bello</v>
      </c>
      <c r="D65" s="178"/>
      <c r="E65" s="181"/>
      <c r="K65" s="129">
        <f t="shared" si="11"/>
        <v>28</v>
      </c>
      <c r="L65" s="156" t="str">
        <f t="shared" si="12"/>
        <v>Messina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Keith</v>
      </c>
      <c r="D66" s="178"/>
      <c r="E66" s="181"/>
      <c r="K66" s="135">
        <f t="shared" si="11"/>
        <v>29</v>
      </c>
      <c r="L66" s="156" t="str">
        <f t="shared" si="12"/>
        <v>Cestero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Bello</v>
      </c>
      <c r="D67" s="178"/>
      <c r="E67" s="181"/>
      <c r="K67" s="135">
        <f t="shared" si="11"/>
        <v>29</v>
      </c>
      <c r="L67" s="156" t="str">
        <f t="shared" si="12"/>
        <v>Messina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Keith</v>
      </c>
      <c r="D68" s="178"/>
      <c r="E68" s="181"/>
      <c r="K68" s="135">
        <f t="shared" si="11"/>
        <v>30</v>
      </c>
      <c r="L68" s="156" t="str">
        <f t="shared" si="12"/>
        <v>Cestero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Bello</v>
      </c>
      <c r="D69" s="178"/>
      <c r="E69" s="181"/>
      <c r="K69" s="135">
        <f t="shared" si="11"/>
        <v>30</v>
      </c>
      <c r="L69" s="156" t="str">
        <f t="shared" si="12"/>
        <v>Messina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Keith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Cestero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Bello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Messina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Keith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Cestero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Bello</v>
      </c>
      <c r="D73" s="178"/>
      <c r="E73" s="181"/>
      <c r="K73" s="129">
        <v>32.0</v>
      </c>
      <c r="L73" s="156" t="str">
        <f t="shared" si="12"/>
        <v>Messina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Keith</v>
      </c>
      <c r="D74" s="192"/>
      <c r="E74" s="181"/>
      <c r="K74" s="129">
        <v>33.0</v>
      </c>
      <c r="L74" s="156" t="str">
        <f t="shared" si="12"/>
        <v>Cestero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Bello</v>
      </c>
      <c r="D75" s="178"/>
      <c r="E75" s="181"/>
      <c r="K75" s="129">
        <v>33.0</v>
      </c>
      <c r="L75" s="156" t="str">
        <f t="shared" si="12"/>
        <v>Messina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Keith</v>
      </c>
      <c r="D76" s="178"/>
      <c r="E76" s="181"/>
      <c r="K76" s="129">
        <v>34.0</v>
      </c>
      <c r="L76" s="156" t="str">
        <f t="shared" si="12"/>
        <v>Cestero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Bello</v>
      </c>
      <c r="D77" s="178"/>
      <c r="E77" s="181"/>
      <c r="K77" s="129">
        <v>34.0</v>
      </c>
      <c r="L77" s="156" t="str">
        <f t="shared" si="12"/>
        <v>Messina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Keith</v>
      </c>
      <c r="D78" s="178"/>
      <c r="E78" s="181"/>
      <c r="K78" s="129">
        <v>35.0</v>
      </c>
      <c r="L78" s="156" t="str">
        <f t="shared" si="12"/>
        <v>Cestero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Bello</v>
      </c>
      <c r="D79" s="178"/>
      <c r="E79" s="181"/>
      <c r="K79" s="129">
        <v>35.0</v>
      </c>
      <c r="L79" s="156" t="str">
        <f t="shared" si="12"/>
        <v>Messina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Keith</v>
      </c>
      <c r="D80" s="178"/>
      <c r="E80" s="181"/>
      <c r="K80" s="129">
        <v>36.0</v>
      </c>
      <c r="L80" s="156" t="str">
        <f t="shared" si="12"/>
        <v>Cestero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Bello</v>
      </c>
      <c r="D81" s="178"/>
      <c r="E81" s="181"/>
      <c r="K81" s="129">
        <v>36.0</v>
      </c>
      <c r="L81" s="156" t="str">
        <f t="shared" si="12"/>
        <v>Messina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Keith</v>
      </c>
      <c r="D82" s="178"/>
      <c r="E82" s="181"/>
      <c r="K82" s="129">
        <v>37.0</v>
      </c>
      <c r="L82" s="156" t="str">
        <f t="shared" si="12"/>
        <v>Cestero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Bello</v>
      </c>
      <c r="D83" s="178"/>
      <c r="E83" s="181"/>
      <c r="K83" s="129">
        <v>37.0</v>
      </c>
      <c r="L83" s="156" t="str">
        <f t="shared" si="12"/>
        <v>Messina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Keith</v>
      </c>
      <c r="D84" s="178"/>
      <c r="E84" s="181"/>
      <c r="K84" s="129">
        <v>38.0</v>
      </c>
      <c r="L84" s="156" t="str">
        <f t="shared" si="12"/>
        <v>Cestero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Bello</v>
      </c>
      <c r="D85" s="178"/>
      <c r="E85" s="181"/>
      <c r="K85" s="129">
        <v>38.0</v>
      </c>
      <c r="L85" s="156" t="str">
        <f t="shared" si="12"/>
        <v>Messina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Keith</v>
      </c>
      <c r="D86" s="178"/>
      <c r="E86" s="181"/>
      <c r="K86" s="129">
        <v>39.0</v>
      </c>
      <c r="L86" s="156" t="str">
        <f t="shared" si="12"/>
        <v>Cestero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Bello</v>
      </c>
      <c r="D87" s="178"/>
      <c r="E87" s="181"/>
      <c r="K87" s="129">
        <v>39.0</v>
      </c>
      <c r="L87" s="156" t="str">
        <f t="shared" si="12"/>
        <v>Messina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Keith</v>
      </c>
      <c r="D88" s="178"/>
      <c r="E88" s="181"/>
      <c r="K88" s="129">
        <v>40.0</v>
      </c>
      <c r="L88" s="156" t="str">
        <f t="shared" si="12"/>
        <v>Cestero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Bello</v>
      </c>
      <c r="D89" s="178"/>
      <c r="E89" s="181"/>
      <c r="K89" s="129">
        <v>40.0</v>
      </c>
      <c r="L89" s="156" t="str">
        <f t="shared" si="12"/>
        <v>Messina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0.13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9" t="s">
        <v>176</v>
      </c>
      <c r="E2" s="219" t="s">
        <v>177</v>
      </c>
      <c r="F2" s="219" t="s">
        <v>67</v>
      </c>
      <c r="G2" s="219" t="s">
        <v>68</v>
      </c>
      <c r="H2" s="220" t="s">
        <v>69</v>
      </c>
      <c r="I2" s="220" t="s">
        <v>70</v>
      </c>
      <c r="J2" s="221" t="s">
        <v>72</v>
      </c>
      <c r="K2" s="215"/>
      <c r="L2" s="117"/>
      <c r="M2" s="219" t="s">
        <v>176</v>
      </c>
      <c r="N2" s="219" t="s">
        <v>177</v>
      </c>
      <c r="O2" s="219" t="s">
        <v>67</v>
      </c>
      <c r="P2" s="219" t="s">
        <v>68</v>
      </c>
      <c r="Q2" s="220" t="s">
        <v>69</v>
      </c>
      <c r="R2" s="221" t="s">
        <v>70</v>
      </c>
      <c r="S2" s="222" t="s">
        <v>72</v>
      </c>
      <c r="T2" s="124"/>
      <c r="U2" s="7"/>
    </row>
    <row r="3">
      <c r="A3" s="125"/>
      <c r="B3" s="126" t="s">
        <v>178</v>
      </c>
      <c r="C3" s="127" t="s">
        <v>119</v>
      </c>
      <c r="D3" s="189">
        <f t="shared" ref="D3:J3" si="1">SUMPRODUCT(D10:D90,MOD(ROW(D10:D90),2)=0)</f>
        <v>22</v>
      </c>
      <c r="E3" s="189">
        <f t="shared" si="1"/>
        <v>4</v>
      </c>
      <c r="F3" s="189">
        <f t="shared" si="1"/>
        <v>1</v>
      </c>
      <c r="G3" s="189">
        <f t="shared" si="1"/>
        <v>0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136</v>
      </c>
      <c r="M3" s="189">
        <f t="shared" ref="M3:S3" si="2">SUMPRODUCT(M10:M90,MOD(ROW(M10:M90),2)=0)</f>
        <v>23</v>
      </c>
      <c r="N3" s="189">
        <f t="shared" si="2"/>
        <v>0</v>
      </c>
      <c r="O3" s="189">
        <f t="shared" si="2"/>
        <v>0</v>
      </c>
      <c r="P3" s="189">
        <f t="shared" si="2"/>
        <v>1</v>
      </c>
      <c r="Q3" s="189">
        <f t="shared" si="2"/>
        <v>0</v>
      </c>
      <c r="R3" s="189">
        <f t="shared" si="2"/>
        <v>0</v>
      </c>
      <c r="S3" s="195">
        <f t="shared" si="2"/>
        <v>1</v>
      </c>
      <c r="T3" s="132"/>
      <c r="U3" s="7"/>
    </row>
    <row r="4">
      <c r="A4" s="125"/>
      <c r="B4" s="126" t="s">
        <v>179</v>
      </c>
      <c r="C4" s="127" t="s">
        <v>135</v>
      </c>
      <c r="D4" s="191">
        <f t="shared" ref="D4:J4" si="3">SUMPRODUCT(D10:D90,MOD(ROW(D10:D90),2))</f>
        <v>24</v>
      </c>
      <c r="E4" s="191">
        <f t="shared" si="3"/>
        <v>2</v>
      </c>
      <c r="F4" s="191">
        <f t="shared" si="3"/>
        <v>1</v>
      </c>
      <c r="G4" s="191">
        <f t="shared" si="3"/>
        <v>1</v>
      </c>
      <c r="H4" s="191">
        <f t="shared" si="3"/>
        <v>1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91</v>
      </c>
      <c r="M4" s="191">
        <f t="shared" ref="M4:S4" si="4">SUMPRODUCT(M10:M90,MOD(ROW(M10:M90),2))</f>
        <v>14</v>
      </c>
      <c r="N4" s="191">
        <f t="shared" si="4"/>
        <v>10</v>
      </c>
      <c r="O4" s="191">
        <f t="shared" si="4"/>
        <v>2</v>
      </c>
      <c r="P4" s="191">
        <f t="shared" si="4"/>
        <v>0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Ogilvie %</v>
      </c>
      <c r="D5" s="137">
        <f t="shared" ref="D5:D6" si="6">IFERROR((E3/(E3+D3)),0)</f>
        <v>0.1538461538</v>
      </c>
      <c r="K5" s="135"/>
      <c r="L5" s="136" t="str">
        <f t="shared" ref="L5:L6" si="7">IFERROR((L10 &amp;" %"), "")</f>
        <v> Schroeder %</v>
      </c>
      <c r="M5" s="137">
        <f t="shared" ref="M5:M6" si="8">IFERROR((N3/(N3+M3)),0)</f>
        <v>0</v>
      </c>
      <c r="S5" s="132"/>
      <c r="T5" s="132"/>
      <c r="U5" s="7"/>
    </row>
    <row r="6">
      <c r="A6" s="14"/>
      <c r="B6" s="138"/>
      <c r="C6" s="139" t="str">
        <f t="shared" si="5"/>
        <v> Connors %</v>
      </c>
      <c r="D6" s="140">
        <f t="shared" si="6"/>
        <v>0.07692307692</v>
      </c>
      <c r="E6" s="141"/>
      <c r="F6" s="141"/>
      <c r="G6" s="141"/>
      <c r="H6" s="141"/>
      <c r="I6" s="141"/>
      <c r="J6" s="141"/>
      <c r="K6" s="138"/>
      <c r="L6" s="139" t="str">
        <f t="shared" si="7"/>
        <v> Lewis %</v>
      </c>
      <c r="M6" s="142">
        <f t="shared" si="8"/>
        <v>0.4166666667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223" t="s">
        <v>176</v>
      </c>
      <c r="E9" s="224" t="s">
        <v>177</v>
      </c>
      <c r="F9" s="225" t="s">
        <v>67</v>
      </c>
      <c r="G9" s="225" t="s">
        <v>68</v>
      </c>
      <c r="H9" s="225" t="s">
        <v>69</v>
      </c>
      <c r="I9" s="225" t="s">
        <v>70</v>
      </c>
      <c r="J9" s="225" t="s">
        <v>72</v>
      </c>
      <c r="K9" s="145" t="s">
        <v>181</v>
      </c>
      <c r="L9" s="146" t="s">
        <v>63</v>
      </c>
      <c r="M9" s="223" t="s">
        <v>176</v>
      </c>
      <c r="N9" s="224" t="s">
        <v>177</v>
      </c>
      <c r="O9" s="225" t="s">
        <v>67</v>
      </c>
      <c r="P9" s="225" t="s">
        <v>68</v>
      </c>
      <c r="Q9" s="225" t="s">
        <v>69</v>
      </c>
      <c r="R9" s="225" t="s">
        <v>70</v>
      </c>
      <c r="S9" s="225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Ogilvie")</f>
        <v> Ogilvie</v>
      </c>
      <c r="D10" s="180"/>
      <c r="E10" s="179">
        <v>1.0</v>
      </c>
      <c r="F10" s="136"/>
      <c r="G10" s="136"/>
      <c r="K10" s="129">
        <v>1.0</v>
      </c>
      <c r="L10" s="136" t="str">
        <f>IFERROR(__xludf.DUMMYFUNCTION("REGEXEXTRACT(L3, ""( .*)+"")")," Schroeder")</f>
        <v> Schroeder</v>
      </c>
      <c r="M10" s="180">
        <v>1.0</v>
      </c>
      <c r="N10" s="179"/>
      <c r="P10" s="186"/>
      <c r="T10" s="132"/>
      <c r="U10" s="7"/>
    </row>
    <row r="11">
      <c r="A11" s="8"/>
      <c r="B11" s="129">
        <v>1.0</v>
      </c>
      <c r="C11" s="136" t="str">
        <f>IFERROR(__xludf.DUMMYFUNCTION("REGEXEXTRACT(C4, ""( .*)+"")")," Connors")</f>
        <v> Connors</v>
      </c>
      <c r="D11" s="180">
        <v>1.0</v>
      </c>
      <c r="E11" s="179"/>
      <c r="K11" s="129">
        <v>1.0</v>
      </c>
      <c r="L11" s="136" t="str">
        <f>IFERROR(__xludf.DUMMYFUNCTION("REGEXEXTRACT(L4, ""( .*)+"")")," Lewis")</f>
        <v> Lewis</v>
      </c>
      <c r="M11" s="180">
        <v>1.0</v>
      </c>
      <c r="N11" s="179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Ogilvie</v>
      </c>
      <c r="D12" s="180">
        <v>1.0</v>
      </c>
      <c r="E12" s="179"/>
      <c r="K12" s="129">
        <f t="shared" ref="K12:K69" si="11">K10+1</f>
        <v>2</v>
      </c>
      <c r="L12" s="156" t="str">
        <f t="shared" ref="L12:L89" si="12">L10</f>
        <v> Schroeder</v>
      </c>
      <c r="M12" s="180">
        <v>1.0</v>
      </c>
      <c r="N12" s="179"/>
      <c r="T12" s="132"/>
      <c r="U12" s="7"/>
    </row>
    <row r="13">
      <c r="A13" s="14"/>
      <c r="B13" s="135">
        <f t="shared" si="9"/>
        <v>2</v>
      </c>
      <c r="C13" s="156" t="str">
        <f t="shared" si="10"/>
        <v> Connors</v>
      </c>
      <c r="D13" s="180">
        <v>1.0</v>
      </c>
      <c r="E13" s="179"/>
      <c r="K13" s="135">
        <f t="shared" si="11"/>
        <v>2</v>
      </c>
      <c r="L13" s="156" t="str">
        <f t="shared" si="12"/>
        <v> Lewis</v>
      </c>
      <c r="M13" s="180"/>
      <c r="N13" s="179">
        <v>1.0</v>
      </c>
      <c r="T13" s="132"/>
      <c r="U13" s="7"/>
    </row>
    <row r="14">
      <c r="A14" s="8"/>
      <c r="B14" s="129">
        <f t="shared" si="9"/>
        <v>3</v>
      </c>
      <c r="C14" s="156" t="str">
        <f t="shared" si="10"/>
        <v> Ogilvie</v>
      </c>
      <c r="D14" s="180">
        <v>1.0</v>
      </c>
      <c r="E14" s="179"/>
      <c r="K14" s="129">
        <f t="shared" si="11"/>
        <v>3</v>
      </c>
      <c r="L14" s="156" t="str">
        <f t="shared" si="12"/>
        <v> Schroeder</v>
      </c>
      <c r="M14" s="180">
        <v>1.0</v>
      </c>
      <c r="N14" s="181"/>
      <c r="T14" s="132"/>
      <c r="U14" s="7"/>
    </row>
    <row r="15">
      <c r="A15" s="14"/>
      <c r="B15" s="135">
        <f t="shared" si="9"/>
        <v>3</v>
      </c>
      <c r="C15" s="156" t="str">
        <f t="shared" si="10"/>
        <v> Connors</v>
      </c>
      <c r="D15" s="180">
        <v>1.0</v>
      </c>
      <c r="E15" s="179"/>
      <c r="K15" s="135">
        <f t="shared" si="11"/>
        <v>3</v>
      </c>
      <c r="L15" s="156" t="str">
        <f t="shared" si="12"/>
        <v> Lewis</v>
      </c>
      <c r="M15" s="180">
        <v>1.0</v>
      </c>
      <c r="N15" s="181"/>
      <c r="T15" s="132"/>
      <c r="U15" s="7"/>
    </row>
    <row r="16">
      <c r="A16" s="8"/>
      <c r="B16" s="129">
        <f t="shared" si="9"/>
        <v>4</v>
      </c>
      <c r="C16" s="156" t="str">
        <f t="shared" si="10"/>
        <v> Ogilvie</v>
      </c>
      <c r="D16" s="180">
        <v>1.0</v>
      </c>
      <c r="E16" s="181"/>
      <c r="K16" s="129">
        <f t="shared" si="11"/>
        <v>4</v>
      </c>
      <c r="L16" s="156" t="str">
        <f t="shared" si="12"/>
        <v> Schroeder</v>
      </c>
      <c r="M16" s="180">
        <v>1.0</v>
      </c>
      <c r="N16" s="181"/>
      <c r="T16" s="132"/>
      <c r="U16" s="7"/>
    </row>
    <row r="17">
      <c r="A17" s="14"/>
      <c r="B17" s="135">
        <f t="shared" si="9"/>
        <v>4</v>
      </c>
      <c r="C17" s="156" t="str">
        <f t="shared" si="10"/>
        <v> Connors</v>
      </c>
      <c r="D17" s="180"/>
      <c r="E17" s="179">
        <v>1.0</v>
      </c>
      <c r="K17" s="135">
        <f t="shared" si="11"/>
        <v>4</v>
      </c>
      <c r="L17" s="156" t="str">
        <f t="shared" si="12"/>
        <v> Lewis</v>
      </c>
      <c r="M17" s="178"/>
      <c r="N17" s="179">
        <v>1.0</v>
      </c>
      <c r="T17" s="132"/>
      <c r="U17" s="7"/>
    </row>
    <row r="18">
      <c r="A18" s="8"/>
      <c r="B18" s="129">
        <f t="shared" si="9"/>
        <v>5</v>
      </c>
      <c r="C18" s="156" t="str">
        <f t="shared" si="10"/>
        <v> Ogilvie</v>
      </c>
      <c r="D18" s="180">
        <v>1.0</v>
      </c>
      <c r="E18" s="179"/>
      <c r="K18" s="129">
        <f t="shared" si="11"/>
        <v>5</v>
      </c>
      <c r="L18" s="156" t="str">
        <f t="shared" si="12"/>
        <v> Schroeder</v>
      </c>
      <c r="M18" s="180">
        <v>1.0</v>
      </c>
      <c r="N18" s="181"/>
      <c r="T18" s="132"/>
      <c r="U18" s="7"/>
    </row>
    <row r="19">
      <c r="A19" s="14"/>
      <c r="B19" s="135">
        <f t="shared" si="9"/>
        <v>5</v>
      </c>
      <c r="C19" s="156" t="str">
        <f t="shared" si="10"/>
        <v> Connors</v>
      </c>
      <c r="D19" s="180">
        <v>1.0</v>
      </c>
      <c r="E19" s="181"/>
      <c r="K19" s="135">
        <f t="shared" si="11"/>
        <v>5</v>
      </c>
      <c r="L19" s="156" t="str">
        <f t="shared" si="12"/>
        <v> Lewis</v>
      </c>
      <c r="M19" s="178"/>
      <c r="N19" s="179">
        <v>1.0</v>
      </c>
      <c r="T19" s="132"/>
      <c r="U19" s="7"/>
    </row>
    <row r="20">
      <c r="A20" s="8"/>
      <c r="B20" s="129">
        <f t="shared" si="9"/>
        <v>6</v>
      </c>
      <c r="C20" s="156" t="str">
        <f t="shared" si="10"/>
        <v> Ogilvie</v>
      </c>
      <c r="D20" s="180">
        <v>1.0</v>
      </c>
      <c r="E20" s="179"/>
      <c r="K20" s="129">
        <f t="shared" si="11"/>
        <v>6</v>
      </c>
      <c r="L20" s="156" t="str">
        <f t="shared" si="12"/>
        <v> Schroeder</v>
      </c>
      <c r="M20" s="180">
        <v>1.0</v>
      </c>
      <c r="N20" s="181"/>
      <c r="T20" s="132"/>
      <c r="U20" s="7"/>
    </row>
    <row r="21">
      <c r="A21" s="14"/>
      <c r="B21" s="135">
        <f t="shared" si="9"/>
        <v>6</v>
      </c>
      <c r="C21" s="156" t="str">
        <f t="shared" si="10"/>
        <v> Connors</v>
      </c>
      <c r="D21" s="180">
        <v>1.0</v>
      </c>
      <c r="E21" s="181"/>
      <c r="K21" s="135">
        <f t="shared" si="11"/>
        <v>6</v>
      </c>
      <c r="L21" s="156" t="str">
        <f t="shared" si="12"/>
        <v> Lewis</v>
      </c>
      <c r="M21" s="180">
        <v>1.0</v>
      </c>
      <c r="N21" s="181"/>
      <c r="T21" s="132"/>
      <c r="U21" s="7"/>
    </row>
    <row r="22">
      <c r="A22" s="8"/>
      <c r="B22" s="129">
        <f t="shared" si="9"/>
        <v>7</v>
      </c>
      <c r="C22" s="156" t="str">
        <f t="shared" si="10"/>
        <v> Ogilvie</v>
      </c>
      <c r="D22" s="180">
        <v>1.0</v>
      </c>
      <c r="E22" s="181"/>
      <c r="K22" s="129">
        <f t="shared" si="11"/>
        <v>7</v>
      </c>
      <c r="L22" s="156" t="str">
        <f t="shared" si="12"/>
        <v> Schroeder</v>
      </c>
      <c r="M22" s="180">
        <v>1.0</v>
      </c>
      <c r="N22" s="181"/>
      <c r="T22" s="132"/>
      <c r="U22" s="7"/>
    </row>
    <row r="23">
      <c r="A23" s="14"/>
      <c r="B23" s="135">
        <f t="shared" si="9"/>
        <v>7</v>
      </c>
      <c r="C23" s="156" t="str">
        <f t="shared" si="10"/>
        <v> Connors</v>
      </c>
      <c r="D23" s="180">
        <v>1.0</v>
      </c>
      <c r="E23" s="181"/>
      <c r="K23" s="135">
        <f t="shared" si="11"/>
        <v>7</v>
      </c>
      <c r="L23" s="156" t="str">
        <f t="shared" si="12"/>
        <v> Lewis</v>
      </c>
      <c r="M23" s="180"/>
      <c r="N23" s="179">
        <v>1.0</v>
      </c>
      <c r="T23" s="132"/>
      <c r="U23" s="7"/>
    </row>
    <row r="24">
      <c r="A24" s="8"/>
      <c r="B24" s="129">
        <f t="shared" si="9"/>
        <v>8</v>
      </c>
      <c r="C24" s="156" t="str">
        <f t="shared" si="10"/>
        <v> Ogilvie</v>
      </c>
      <c r="D24" s="180">
        <v>1.0</v>
      </c>
      <c r="E24" s="181"/>
      <c r="K24" s="129">
        <f t="shared" si="11"/>
        <v>8</v>
      </c>
      <c r="L24" s="156" t="str">
        <f t="shared" si="12"/>
        <v> Schroeder</v>
      </c>
      <c r="M24" s="180">
        <v>1.0</v>
      </c>
      <c r="N24" s="181"/>
      <c r="T24" s="132"/>
      <c r="U24" s="7"/>
    </row>
    <row r="25">
      <c r="A25" s="14"/>
      <c r="B25" s="135">
        <f t="shared" si="9"/>
        <v>8</v>
      </c>
      <c r="C25" s="156" t="str">
        <f t="shared" si="10"/>
        <v> Connors</v>
      </c>
      <c r="D25" s="180">
        <v>1.0</v>
      </c>
      <c r="E25" s="181"/>
      <c r="K25" s="135">
        <f t="shared" si="11"/>
        <v>8</v>
      </c>
      <c r="L25" s="156" t="str">
        <f t="shared" si="12"/>
        <v> Lewis</v>
      </c>
      <c r="M25" s="180">
        <v>1.0</v>
      </c>
      <c r="N25" s="179"/>
      <c r="O25" s="136">
        <v>1.0</v>
      </c>
      <c r="T25" s="132"/>
      <c r="U25" s="7"/>
    </row>
    <row r="26">
      <c r="A26" s="8"/>
      <c r="B26" s="129">
        <f t="shared" si="9"/>
        <v>9</v>
      </c>
      <c r="C26" s="156" t="str">
        <f t="shared" si="10"/>
        <v> Ogilvie</v>
      </c>
      <c r="D26" s="180">
        <v>1.0</v>
      </c>
      <c r="E26" s="181"/>
      <c r="K26" s="129">
        <f t="shared" si="11"/>
        <v>9</v>
      </c>
      <c r="L26" s="156" t="str">
        <f t="shared" si="12"/>
        <v> Schroeder</v>
      </c>
      <c r="M26" s="180">
        <v>1.0</v>
      </c>
      <c r="N26" s="181"/>
      <c r="T26" s="132"/>
      <c r="U26" s="7"/>
    </row>
    <row r="27">
      <c r="A27" s="14"/>
      <c r="B27" s="135">
        <f t="shared" si="9"/>
        <v>9</v>
      </c>
      <c r="C27" s="156" t="str">
        <f t="shared" si="10"/>
        <v> Connors</v>
      </c>
      <c r="D27" s="180">
        <v>1.0</v>
      </c>
      <c r="E27" s="181"/>
      <c r="K27" s="135">
        <f t="shared" si="11"/>
        <v>9</v>
      </c>
      <c r="L27" s="156" t="str">
        <f t="shared" si="12"/>
        <v> Lewis</v>
      </c>
      <c r="M27" s="180"/>
      <c r="N27" s="179">
        <v>1.0</v>
      </c>
      <c r="T27" s="132"/>
      <c r="U27" s="7"/>
    </row>
    <row r="28">
      <c r="A28" s="8"/>
      <c r="B28" s="129">
        <f t="shared" si="9"/>
        <v>10</v>
      </c>
      <c r="C28" s="156" t="str">
        <f t="shared" si="10"/>
        <v> Ogilvie</v>
      </c>
      <c r="D28" s="180">
        <v>1.0</v>
      </c>
      <c r="E28" s="181"/>
      <c r="K28" s="129">
        <f t="shared" si="11"/>
        <v>10</v>
      </c>
      <c r="L28" s="156" t="str">
        <f t="shared" si="12"/>
        <v> Schroeder</v>
      </c>
      <c r="M28" s="180">
        <v>1.0</v>
      </c>
      <c r="N28" s="181"/>
      <c r="T28" s="132"/>
      <c r="U28" s="7"/>
    </row>
    <row r="29">
      <c r="A29" s="14"/>
      <c r="B29" s="135">
        <f t="shared" si="9"/>
        <v>10</v>
      </c>
      <c r="C29" s="156" t="str">
        <f t="shared" si="10"/>
        <v> Connors</v>
      </c>
      <c r="D29" s="180">
        <v>1.0</v>
      </c>
      <c r="E29" s="181"/>
      <c r="K29" s="135">
        <f t="shared" si="11"/>
        <v>10</v>
      </c>
      <c r="L29" s="156" t="str">
        <f t="shared" si="12"/>
        <v> Lewis</v>
      </c>
      <c r="M29" s="180">
        <v>1.0</v>
      </c>
      <c r="N29" s="181"/>
      <c r="T29" s="132"/>
      <c r="U29" s="7"/>
    </row>
    <row r="30">
      <c r="A30" s="8"/>
      <c r="B30" s="129">
        <f t="shared" si="9"/>
        <v>11</v>
      </c>
      <c r="C30" s="156" t="str">
        <f t="shared" si="10"/>
        <v> Ogilvie</v>
      </c>
      <c r="D30" s="180">
        <v>1.0</v>
      </c>
      <c r="E30" s="181"/>
      <c r="K30" s="129">
        <f t="shared" si="11"/>
        <v>11</v>
      </c>
      <c r="L30" s="156" t="str">
        <f t="shared" si="12"/>
        <v> Schroeder</v>
      </c>
      <c r="M30" s="180">
        <v>1.0</v>
      </c>
      <c r="N30" s="181"/>
      <c r="T30" s="132"/>
      <c r="U30" s="7"/>
    </row>
    <row r="31">
      <c r="A31" s="14"/>
      <c r="B31" s="135">
        <f t="shared" si="9"/>
        <v>11</v>
      </c>
      <c r="C31" s="156" t="str">
        <f t="shared" si="10"/>
        <v> Connors</v>
      </c>
      <c r="D31" s="180">
        <v>1.0</v>
      </c>
      <c r="E31" s="181"/>
      <c r="K31" s="135">
        <f t="shared" si="11"/>
        <v>11</v>
      </c>
      <c r="L31" s="156" t="str">
        <f t="shared" si="12"/>
        <v> Lewis</v>
      </c>
      <c r="M31" s="180">
        <v>1.0</v>
      </c>
      <c r="N31" s="179"/>
      <c r="O31" s="136">
        <v>1.0</v>
      </c>
      <c r="T31" s="132"/>
      <c r="U31" s="7"/>
    </row>
    <row r="32">
      <c r="A32" s="8"/>
      <c r="B32" s="129">
        <f t="shared" si="9"/>
        <v>12</v>
      </c>
      <c r="C32" s="156" t="str">
        <f t="shared" si="10"/>
        <v> Ogilvie</v>
      </c>
      <c r="D32" s="180">
        <v>1.0</v>
      </c>
      <c r="E32" s="181"/>
      <c r="K32" s="129">
        <f t="shared" si="11"/>
        <v>12</v>
      </c>
      <c r="L32" s="156" t="str">
        <f t="shared" si="12"/>
        <v> Schroeder</v>
      </c>
      <c r="M32" s="180">
        <v>1.0</v>
      </c>
      <c r="N32" s="181"/>
      <c r="T32" s="132"/>
      <c r="U32" s="7"/>
    </row>
    <row r="33">
      <c r="A33" s="14"/>
      <c r="B33" s="135">
        <f t="shared" si="9"/>
        <v>12</v>
      </c>
      <c r="C33" s="156" t="str">
        <f t="shared" si="10"/>
        <v> Connors</v>
      </c>
      <c r="D33" s="180">
        <v>1.0</v>
      </c>
      <c r="E33" s="181"/>
      <c r="K33" s="135">
        <f t="shared" si="11"/>
        <v>12</v>
      </c>
      <c r="L33" s="156" t="str">
        <f t="shared" si="12"/>
        <v> Lewis</v>
      </c>
      <c r="M33" s="178"/>
      <c r="N33" s="179">
        <v>1.0</v>
      </c>
      <c r="T33" s="132"/>
      <c r="U33" s="7"/>
    </row>
    <row r="34">
      <c r="A34" s="8"/>
      <c r="B34" s="129">
        <f t="shared" si="9"/>
        <v>13</v>
      </c>
      <c r="C34" s="156" t="str">
        <f t="shared" si="10"/>
        <v> Ogilvie</v>
      </c>
      <c r="D34" s="180">
        <v>1.0</v>
      </c>
      <c r="E34" s="181"/>
      <c r="K34" s="129">
        <f t="shared" si="11"/>
        <v>13</v>
      </c>
      <c r="L34" s="156" t="str">
        <f t="shared" si="12"/>
        <v> Schroeder</v>
      </c>
      <c r="M34" s="180">
        <v>1.0</v>
      </c>
      <c r="N34" s="181"/>
      <c r="T34" s="132"/>
      <c r="U34" s="7"/>
    </row>
    <row r="35">
      <c r="A35" s="14"/>
      <c r="B35" s="135">
        <f t="shared" si="9"/>
        <v>13</v>
      </c>
      <c r="C35" s="156" t="str">
        <f t="shared" si="10"/>
        <v> Connors</v>
      </c>
      <c r="D35" s="180">
        <v>1.0</v>
      </c>
      <c r="E35" s="181"/>
      <c r="K35" s="135">
        <f t="shared" si="11"/>
        <v>13</v>
      </c>
      <c r="L35" s="156" t="str">
        <f t="shared" si="12"/>
        <v> Lewis</v>
      </c>
      <c r="M35" s="180">
        <v>1.0</v>
      </c>
      <c r="N35" s="181"/>
      <c r="T35" s="132"/>
      <c r="U35" s="7"/>
    </row>
    <row r="36">
      <c r="A36" s="8"/>
      <c r="B36" s="129">
        <f t="shared" si="9"/>
        <v>14</v>
      </c>
      <c r="C36" s="156" t="str">
        <f t="shared" si="10"/>
        <v> Ogilvie</v>
      </c>
      <c r="D36" s="180">
        <v>1.0</v>
      </c>
      <c r="E36" s="181"/>
      <c r="K36" s="129">
        <f t="shared" si="11"/>
        <v>14</v>
      </c>
      <c r="L36" s="156" t="str">
        <f t="shared" si="12"/>
        <v> Schroeder</v>
      </c>
      <c r="M36" s="180">
        <v>1.0</v>
      </c>
      <c r="N36" s="181"/>
      <c r="T36" s="132"/>
      <c r="U36" s="7"/>
    </row>
    <row r="37">
      <c r="A37" s="14"/>
      <c r="B37" s="135">
        <f t="shared" si="9"/>
        <v>14</v>
      </c>
      <c r="C37" s="156" t="str">
        <f t="shared" si="10"/>
        <v> Connors</v>
      </c>
      <c r="D37" s="180">
        <v>1.0</v>
      </c>
      <c r="E37" s="181"/>
      <c r="K37" s="135">
        <f t="shared" si="11"/>
        <v>14</v>
      </c>
      <c r="L37" s="156" t="str">
        <f t="shared" si="12"/>
        <v> Lewis</v>
      </c>
      <c r="M37" s="180">
        <v>1.0</v>
      </c>
      <c r="N37" s="181"/>
      <c r="T37" s="132"/>
      <c r="U37" s="7"/>
    </row>
    <row r="38">
      <c r="A38" s="8"/>
      <c r="B38" s="129">
        <f t="shared" si="9"/>
        <v>15</v>
      </c>
      <c r="C38" s="156" t="str">
        <f t="shared" si="10"/>
        <v> Ogilvie</v>
      </c>
      <c r="D38" s="180">
        <v>1.0</v>
      </c>
      <c r="E38" s="181"/>
      <c r="K38" s="129">
        <f t="shared" si="11"/>
        <v>15</v>
      </c>
      <c r="L38" s="156" t="str">
        <f t="shared" si="12"/>
        <v> Schroeder</v>
      </c>
      <c r="M38" s="180">
        <v>1.0</v>
      </c>
      <c r="N38" s="181"/>
      <c r="T38" s="132"/>
      <c r="U38" s="7"/>
    </row>
    <row r="39">
      <c r="A39" s="14"/>
      <c r="B39" s="135">
        <f t="shared" si="9"/>
        <v>15</v>
      </c>
      <c r="C39" s="156" t="str">
        <f t="shared" si="10"/>
        <v> Connors</v>
      </c>
      <c r="D39" s="180">
        <v>1.0</v>
      </c>
      <c r="E39" s="181"/>
      <c r="K39" s="135">
        <f t="shared" si="11"/>
        <v>15</v>
      </c>
      <c r="L39" s="156" t="str">
        <f t="shared" si="12"/>
        <v> Lewis</v>
      </c>
      <c r="M39" s="180">
        <v>1.0</v>
      </c>
      <c r="N39" s="181"/>
      <c r="T39" s="132"/>
      <c r="U39" s="7"/>
    </row>
    <row r="40">
      <c r="A40" s="8"/>
      <c r="B40" s="129">
        <f t="shared" si="9"/>
        <v>16</v>
      </c>
      <c r="C40" s="156" t="str">
        <f t="shared" si="10"/>
        <v> Ogilvie</v>
      </c>
      <c r="D40" s="180">
        <v>1.0</v>
      </c>
      <c r="E40" s="179"/>
      <c r="K40" s="129">
        <f t="shared" si="11"/>
        <v>16</v>
      </c>
      <c r="L40" s="156" t="str">
        <f t="shared" si="12"/>
        <v> Schroeder</v>
      </c>
      <c r="M40" s="180">
        <v>1.0</v>
      </c>
      <c r="N40" s="181"/>
      <c r="T40" s="132"/>
      <c r="U40" s="7"/>
    </row>
    <row r="41">
      <c r="A41" s="14"/>
      <c r="B41" s="135">
        <f t="shared" si="9"/>
        <v>16</v>
      </c>
      <c r="C41" s="156" t="str">
        <f t="shared" si="10"/>
        <v> Connors</v>
      </c>
      <c r="D41" s="180">
        <v>1.0</v>
      </c>
      <c r="E41" s="181"/>
      <c r="F41" s="136">
        <v>1.0</v>
      </c>
      <c r="K41" s="135">
        <f t="shared" si="11"/>
        <v>16</v>
      </c>
      <c r="L41" s="156" t="str">
        <f t="shared" si="12"/>
        <v> Lewis</v>
      </c>
      <c r="M41" s="178"/>
      <c r="N41" s="179">
        <v>1.0</v>
      </c>
      <c r="T41" s="132"/>
      <c r="U41" s="7"/>
    </row>
    <row r="42">
      <c r="A42" s="8"/>
      <c r="B42" s="129">
        <f t="shared" si="9"/>
        <v>17</v>
      </c>
      <c r="C42" s="156" t="str">
        <f t="shared" si="10"/>
        <v> Ogilvie</v>
      </c>
      <c r="D42" s="180"/>
      <c r="E42" s="179">
        <v>1.0</v>
      </c>
      <c r="K42" s="129">
        <f t="shared" si="11"/>
        <v>17</v>
      </c>
      <c r="L42" s="156" t="str">
        <f t="shared" si="12"/>
        <v> Schroeder</v>
      </c>
      <c r="M42" s="180">
        <v>1.0</v>
      </c>
      <c r="N42" s="181"/>
      <c r="T42" s="132"/>
      <c r="U42" s="7"/>
    </row>
    <row r="43">
      <c r="A43" s="14"/>
      <c r="B43" s="135">
        <f t="shared" si="9"/>
        <v>17</v>
      </c>
      <c r="C43" s="156" t="str">
        <f t="shared" si="10"/>
        <v> Connors</v>
      </c>
      <c r="D43" s="180">
        <v>1.0</v>
      </c>
      <c r="E43" s="179"/>
      <c r="K43" s="135">
        <f t="shared" si="11"/>
        <v>17</v>
      </c>
      <c r="L43" s="156" t="str">
        <f t="shared" si="12"/>
        <v> Lewis</v>
      </c>
      <c r="M43" s="180">
        <v>1.0</v>
      </c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Ogilvie</v>
      </c>
      <c r="D44" s="180"/>
      <c r="E44" s="179">
        <v>1.0</v>
      </c>
      <c r="K44" s="129">
        <f t="shared" si="11"/>
        <v>18</v>
      </c>
      <c r="L44" s="156" t="str">
        <f t="shared" si="12"/>
        <v> Schroeder</v>
      </c>
      <c r="M44" s="180">
        <v>1.0</v>
      </c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Connors</v>
      </c>
      <c r="D45" s="180"/>
      <c r="E45" s="179">
        <v>1.0</v>
      </c>
      <c r="K45" s="129">
        <f t="shared" si="11"/>
        <v>18</v>
      </c>
      <c r="L45" s="156" t="str">
        <f t="shared" si="12"/>
        <v> Lewis</v>
      </c>
      <c r="M45" s="180">
        <v>1.0</v>
      </c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Ogilvie</v>
      </c>
      <c r="D46" s="180">
        <v>1.0</v>
      </c>
      <c r="E46" s="181"/>
      <c r="K46" s="135">
        <f t="shared" si="11"/>
        <v>19</v>
      </c>
      <c r="L46" s="156" t="str">
        <f t="shared" si="12"/>
        <v> Schroeder</v>
      </c>
      <c r="M46" s="180"/>
      <c r="N46" s="181"/>
      <c r="S46" s="136">
        <v>1.0</v>
      </c>
      <c r="T46" s="132"/>
      <c r="U46" s="7"/>
    </row>
    <row r="47">
      <c r="A47" s="8"/>
      <c r="B47" s="129">
        <f t="shared" si="9"/>
        <v>19</v>
      </c>
      <c r="C47" s="156" t="str">
        <f t="shared" si="10"/>
        <v> Connors</v>
      </c>
      <c r="D47" s="180">
        <v>1.0</v>
      </c>
      <c r="E47" s="181"/>
      <c r="K47" s="129">
        <f t="shared" si="11"/>
        <v>19</v>
      </c>
      <c r="L47" s="156" t="str">
        <f t="shared" si="12"/>
        <v> Lewis</v>
      </c>
      <c r="M47" s="180">
        <v>1.0</v>
      </c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Ogilvie</v>
      </c>
      <c r="D48" s="180">
        <v>1.0</v>
      </c>
      <c r="E48" s="181"/>
      <c r="F48" s="136">
        <v>1.0</v>
      </c>
      <c r="K48" s="135">
        <f t="shared" si="11"/>
        <v>20</v>
      </c>
      <c r="L48" s="156" t="str">
        <f t="shared" si="12"/>
        <v> Schroeder</v>
      </c>
      <c r="M48" s="180">
        <v>1.0</v>
      </c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Connors</v>
      </c>
      <c r="D49" s="180">
        <v>1.0</v>
      </c>
      <c r="E49" s="179"/>
      <c r="H49" s="136">
        <v>1.0</v>
      </c>
      <c r="K49" s="129">
        <f t="shared" si="11"/>
        <v>20</v>
      </c>
      <c r="L49" s="156" t="str">
        <f t="shared" si="12"/>
        <v> Lewis</v>
      </c>
      <c r="M49" s="180"/>
      <c r="N49" s="179">
        <v>1.0</v>
      </c>
      <c r="T49" s="132"/>
      <c r="U49" s="7"/>
    </row>
    <row r="50">
      <c r="A50" s="8"/>
      <c r="B50" s="129">
        <f t="shared" si="9"/>
        <v>21</v>
      </c>
      <c r="C50" s="156" t="str">
        <f t="shared" si="10"/>
        <v> Ogilvie</v>
      </c>
      <c r="D50" s="180">
        <v>1.0</v>
      </c>
      <c r="E50" s="181"/>
      <c r="K50" s="129">
        <f t="shared" si="11"/>
        <v>21</v>
      </c>
      <c r="L50" s="156" t="str">
        <f t="shared" si="12"/>
        <v> Schroeder</v>
      </c>
      <c r="M50" s="180">
        <v>1.0</v>
      </c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Connors</v>
      </c>
      <c r="D51" s="180">
        <v>1.0</v>
      </c>
      <c r="E51" s="181"/>
      <c r="K51" s="135">
        <f t="shared" si="11"/>
        <v>21</v>
      </c>
      <c r="L51" s="156" t="str">
        <f t="shared" si="12"/>
        <v> Lewis</v>
      </c>
      <c r="M51" s="180"/>
      <c r="N51" s="179">
        <v>1.0</v>
      </c>
      <c r="T51" s="132"/>
      <c r="U51" s="7"/>
    </row>
    <row r="52">
      <c r="A52" s="8"/>
      <c r="B52" s="129">
        <f t="shared" si="9"/>
        <v>22</v>
      </c>
      <c r="C52" s="156" t="str">
        <f t="shared" si="10"/>
        <v> Ogilvie</v>
      </c>
      <c r="D52" s="180">
        <v>1.0</v>
      </c>
      <c r="E52" s="181"/>
      <c r="K52" s="129">
        <f t="shared" si="11"/>
        <v>22</v>
      </c>
      <c r="L52" s="156" t="str">
        <f t="shared" si="12"/>
        <v> Schroeder</v>
      </c>
      <c r="M52" s="180">
        <v>1.0</v>
      </c>
      <c r="N52" s="181"/>
      <c r="P52" s="136">
        <v>1.0</v>
      </c>
      <c r="T52" s="132"/>
      <c r="U52" s="7"/>
    </row>
    <row r="53">
      <c r="A53" s="14"/>
      <c r="B53" s="135">
        <f t="shared" si="9"/>
        <v>22</v>
      </c>
      <c r="C53" s="156" t="str">
        <f t="shared" si="10"/>
        <v> Connors</v>
      </c>
      <c r="D53" s="180">
        <v>1.0</v>
      </c>
      <c r="E53" s="181"/>
      <c r="K53" s="135">
        <f t="shared" si="11"/>
        <v>22</v>
      </c>
      <c r="L53" s="156" t="str">
        <f t="shared" si="12"/>
        <v> Lewis</v>
      </c>
      <c r="M53" s="180">
        <v>1.0</v>
      </c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Ogilvie</v>
      </c>
      <c r="D54" s="180">
        <v>1.0</v>
      </c>
      <c r="E54" s="181"/>
      <c r="K54" s="129">
        <f t="shared" si="11"/>
        <v>23</v>
      </c>
      <c r="L54" s="156" t="str">
        <f t="shared" si="12"/>
        <v> Schroeder</v>
      </c>
      <c r="M54" s="180">
        <v>1.0</v>
      </c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Connors</v>
      </c>
      <c r="D55" s="180">
        <v>1.0</v>
      </c>
      <c r="E55" s="181"/>
      <c r="G55" s="136">
        <v>1.0</v>
      </c>
      <c r="K55" s="135">
        <f t="shared" si="11"/>
        <v>23</v>
      </c>
      <c r="L55" s="156" t="str">
        <f t="shared" si="12"/>
        <v> Lewis</v>
      </c>
      <c r="M55" s="180">
        <v>1.0</v>
      </c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Ogilvie</v>
      </c>
      <c r="D56" s="180">
        <v>1.0</v>
      </c>
      <c r="E56" s="181"/>
      <c r="K56" s="129">
        <f t="shared" si="11"/>
        <v>24</v>
      </c>
      <c r="L56" s="156" t="str">
        <f t="shared" si="12"/>
        <v> Schroeder</v>
      </c>
      <c r="M56" s="180">
        <v>1.0</v>
      </c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Connors</v>
      </c>
      <c r="D57" s="180">
        <v>1.0</v>
      </c>
      <c r="E57" s="181"/>
      <c r="K57" s="129">
        <f t="shared" si="11"/>
        <v>24</v>
      </c>
      <c r="L57" s="156" t="str">
        <f t="shared" si="12"/>
        <v> Lewis</v>
      </c>
      <c r="M57" s="178"/>
      <c r="N57" s="179">
        <v>1.0</v>
      </c>
      <c r="T57" s="132"/>
      <c r="U57" s="7"/>
    </row>
    <row r="58">
      <c r="A58" s="14"/>
      <c r="B58" s="135">
        <f t="shared" si="9"/>
        <v>25</v>
      </c>
      <c r="C58" s="156" t="str">
        <f t="shared" si="10"/>
        <v> Ogilvie</v>
      </c>
      <c r="D58" s="180">
        <v>1.0</v>
      </c>
      <c r="E58" s="181"/>
      <c r="K58" s="135">
        <f t="shared" si="11"/>
        <v>25</v>
      </c>
      <c r="L58" s="156" t="str">
        <f t="shared" si="12"/>
        <v> Schroeder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Connors</v>
      </c>
      <c r="D59" s="180">
        <v>1.0</v>
      </c>
      <c r="E59" s="181"/>
      <c r="K59" s="129">
        <f t="shared" si="11"/>
        <v>25</v>
      </c>
      <c r="L59" s="156" t="str">
        <f t="shared" si="12"/>
        <v> Lewis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Ogilvie</v>
      </c>
      <c r="D60" s="178"/>
      <c r="E60" s="179">
        <v>1.0</v>
      </c>
      <c r="K60" s="135">
        <f t="shared" si="11"/>
        <v>26</v>
      </c>
      <c r="L60" s="156" t="str">
        <f t="shared" si="12"/>
        <v> Schroeder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Connors</v>
      </c>
      <c r="D61" s="180">
        <v>1.0</v>
      </c>
      <c r="E61" s="181"/>
      <c r="K61" s="129">
        <f t="shared" si="11"/>
        <v>26</v>
      </c>
      <c r="L61" s="156" t="str">
        <f t="shared" si="12"/>
        <v> Lewis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Ogilvie</v>
      </c>
      <c r="D62" s="178"/>
      <c r="E62" s="181"/>
      <c r="K62" s="135">
        <f t="shared" si="11"/>
        <v>27</v>
      </c>
      <c r="L62" s="156" t="str">
        <f t="shared" si="12"/>
        <v> Schroeder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Connors</v>
      </c>
      <c r="D63" s="178"/>
      <c r="E63" s="181"/>
      <c r="K63" s="129">
        <f t="shared" si="11"/>
        <v>27</v>
      </c>
      <c r="L63" s="156" t="str">
        <f t="shared" si="12"/>
        <v> Lewis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Ogilvie</v>
      </c>
      <c r="D64" s="178"/>
      <c r="E64" s="181"/>
      <c r="K64" s="135">
        <f t="shared" si="11"/>
        <v>28</v>
      </c>
      <c r="L64" s="156" t="str">
        <f t="shared" si="12"/>
        <v> Schroeder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Connors</v>
      </c>
      <c r="D65" s="178"/>
      <c r="E65" s="181"/>
      <c r="K65" s="129">
        <f t="shared" si="11"/>
        <v>28</v>
      </c>
      <c r="L65" s="156" t="str">
        <f t="shared" si="12"/>
        <v> Lewis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Ogilvie</v>
      </c>
      <c r="D66" s="178"/>
      <c r="E66" s="181"/>
      <c r="K66" s="135">
        <f t="shared" si="11"/>
        <v>29</v>
      </c>
      <c r="L66" s="156" t="str">
        <f t="shared" si="12"/>
        <v> Schroeder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Connors</v>
      </c>
      <c r="D67" s="178"/>
      <c r="E67" s="181"/>
      <c r="K67" s="135">
        <f t="shared" si="11"/>
        <v>29</v>
      </c>
      <c r="L67" s="156" t="str">
        <f t="shared" si="12"/>
        <v> Lewis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Ogilvie</v>
      </c>
      <c r="D68" s="178"/>
      <c r="E68" s="181"/>
      <c r="K68" s="135">
        <f t="shared" si="11"/>
        <v>30</v>
      </c>
      <c r="L68" s="156" t="str">
        <f t="shared" si="12"/>
        <v> Schroeder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Connors</v>
      </c>
      <c r="D69" s="178"/>
      <c r="E69" s="181"/>
      <c r="K69" s="135">
        <f t="shared" si="11"/>
        <v>30</v>
      </c>
      <c r="L69" s="156" t="str">
        <f t="shared" si="12"/>
        <v> Lewis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Ogilvie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Schroeder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Connors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Lewis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Ogilvie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Schroeder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Connors</v>
      </c>
      <c r="D73" s="178"/>
      <c r="E73" s="181"/>
      <c r="K73" s="129">
        <v>32.0</v>
      </c>
      <c r="L73" s="156" t="str">
        <f t="shared" si="12"/>
        <v> Lewis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Ogilvie</v>
      </c>
      <c r="D74" s="192"/>
      <c r="E74" s="181"/>
      <c r="K74" s="129">
        <v>33.0</v>
      </c>
      <c r="L74" s="156" t="str">
        <f t="shared" si="12"/>
        <v> Schroeder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Connors</v>
      </c>
      <c r="D75" s="178"/>
      <c r="E75" s="181"/>
      <c r="K75" s="129">
        <v>33.0</v>
      </c>
      <c r="L75" s="156" t="str">
        <f t="shared" si="12"/>
        <v> Lewis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Ogilvie</v>
      </c>
      <c r="D76" s="178"/>
      <c r="E76" s="181"/>
      <c r="K76" s="129">
        <v>34.0</v>
      </c>
      <c r="L76" s="156" t="str">
        <f t="shared" si="12"/>
        <v> Schroeder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Connors</v>
      </c>
      <c r="D77" s="178"/>
      <c r="E77" s="181"/>
      <c r="K77" s="129">
        <v>34.0</v>
      </c>
      <c r="L77" s="156" t="str">
        <f t="shared" si="12"/>
        <v> Lewis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Ogilvie</v>
      </c>
      <c r="D78" s="178"/>
      <c r="E78" s="181"/>
      <c r="K78" s="129">
        <v>35.0</v>
      </c>
      <c r="L78" s="156" t="str">
        <f t="shared" si="12"/>
        <v> Schroeder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Connors</v>
      </c>
      <c r="D79" s="178"/>
      <c r="E79" s="181"/>
      <c r="K79" s="129">
        <v>35.0</v>
      </c>
      <c r="L79" s="156" t="str">
        <f t="shared" si="12"/>
        <v> Lewis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Ogilvie</v>
      </c>
      <c r="D80" s="178"/>
      <c r="E80" s="181"/>
      <c r="K80" s="129">
        <v>36.0</v>
      </c>
      <c r="L80" s="156" t="str">
        <f t="shared" si="12"/>
        <v> Schroeder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Connors</v>
      </c>
      <c r="D81" s="178"/>
      <c r="E81" s="181"/>
      <c r="K81" s="129">
        <v>36.0</v>
      </c>
      <c r="L81" s="156" t="str">
        <f t="shared" si="12"/>
        <v> Lewis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Ogilvie</v>
      </c>
      <c r="D82" s="178"/>
      <c r="E82" s="181"/>
      <c r="K82" s="129">
        <v>37.0</v>
      </c>
      <c r="L82" s="156" t="str">
        <f t="shared" si="12"/>
        <v> Schroeder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Connors</v>
      </c>
      <c r="D83" s="178"/>
      <c r="E83" s="181"/>
      <c r="K83" s="129">
        <v>37.0</v>
      </c>
      <c r="L83" s="156" t="str">
        <f t="shared" si="12"/>
        <v> Lewis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Ogilvie</v>
      </c>
      <c r="D84" s="178"/>
      <c r="E84" s="181"/>
      <c r="K84" s="129">
        <v>38.0</v>
      </c>
      <c r="L84" s="156" t="str">
        <f t="shared" si="12"/>
        <v> Schroeder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Connors</v>
      </c>
      <c r="D85" s="178"/>
      <c r="E85" s="181"/>
      <c r="K85" s="129">
        <v>38.0</v>
      </c>
      <c r="L85" s="156" t="str">
        <f t="shared" si="12"/>
        <v> Lewis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Ogilvie</v>
      </c>
      <c r="D86" s="178"/>
      <c r="E86" s="181"/>
      <c r="K86" s="129">
        <v>39.0</v>
      </c>
      <c r="L86" s="156" t="str">
        <f t="shared" si="12"/>
        <v> Schroeder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Connors</v>
      </c>
      <c r="D87" s="178"/>
      <c r="E87" s="181"/>
      <c r="K87" s="129">
        <v>39.0</v>
      </c>
      <c r="L87" s="156" t="str">
        <f t="shared" si="12"/>
        <v> Lewis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Ogilvie</v>
      </c>
      <c r="D88" s="178"/>
      <c r="E88" s="181"/>
      <c r="K88" s="129">
        <v>40.0</v>
      </c>
      <c r="L88" s="156" t="str">
        <f t="shared" si="12"/>
        <v> Schroeder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Connors</v>
      </c>
      <c r="D89" s="178"/>
      <c r="E89" s="181"/>
      <c r="K89" s="129">
        <v>40.0</v>
      </c>
      <c r="L89" s="156" t="str">
        <f t="shared" si="12"/>
        <v> Lewis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0.13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120</v>
      </c>
      <c r="D3" s="189">
        <f t="shared" ref="D3:J3" si="1">SUMPRODUCT(D10:D90,MOD(ROW(D10:D90),2)=0)</f>
        <v>21</v>
      </c>
      <c r="E3" s="189">
        <f t="shared" si="1"/>
        <v>3</v>
      </c>
      <c r="F3" s="189">
        <f t="shared" si="1"/>
        <v>1</v>
      </c>
      <c r="G3" s="189">
        <f t="shared" si="1"/>
        <v>2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122</v>
      </c>
      <c r="M3" s="189">
        <f t="shared" ref="M3:S3" si="2">SUMPRODUCT(M10:M90,MOD(ROW(M10:M90),2)=0)</f>
        <v>18</v>
      </c>
      <c r="N3" s="189">
        <f t="shared" si="2"/>
        <v>5</v>
      </c>
      <c r="O3" s="189">
        <f t="shared" si="2"/>
        <v>1</v>
      </c>
      <c r="P3" s="189">
        <f t="shared" si="2"/>
        <v>2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98</v>
      </c>
      <c r="D4" s="191">
        <f t="shared" ref="D4:J4" si="3">SUMPRODUCT(D10:D90,MOD(ROW(D10:D90),2))</f>
        <v>19</v>
      </c>
      <c r="E4" s="191">
        <f t="shared" si="3"/>
        <v>5</v>
      </c>
      <c r="F4" s="191">
        <f t="shared" si="3"/>
        <v>0</v>
      </c>
      <c r="G4" s="191">
        <f t="shared" si="3"/>
        <v>0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128</v>
      </c>
      <c r="M4" s="191">
        <f t="shared" ref="M4:S4" si="4">SUMPRODUCT(M10:M90,MOD(ROW(M10:M90),2))</f>
        <v>18</v>
      </c>
      <c r="N4" s="191">
        <f t="shared" si="4"/>
        <v>5</v>
      </c>
      <c r="O4" s="191">
        <f t="shared" si="4"/>
        <v>0</v>
      </c>
      <c r="P4" s="191">
        <f t="shared" si="4"/>
        <v>0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Miller %</v>
      </c>
      <c r="D5" s="137">
        <f t="shared" ref="D5:D6" si="6">IFERROR((E3/(E3+D3)),0)</f>
        <v>0.125</v>
      </c>
      <c r="K5" s="135"/>
      <c r="L5" s="136" t="str">
        <f t="shared" ref="L5:L6" si="7">IFERROR((L10 &amp;" %"), "")</f>
        <v> Schoenfeld %</v>
      </c>
      <c r="M5" s="137">
        <f t="shared" ref="M5:M6" si="8">IFERROR((N3/(N3+M3)),0)</f>
        <v>0.2173913043</v>
      </c>
      <c r="S5" s="132"/>
      <c r="T5" s="132"/>
      <c r="U5" s="7"/>
    </row>
    <row r="6">
      <c r="A6" s="14"/>
      <c r="B6" s="138"/>
      <c r="C6" s="139" t="str">
        <f t="shared" si="5"/>
        <v> Boyles %</v>
      </c>
      <c r="D6" s="140">
        <f t="shared" si="6"/>
        <v>0.2083333333</v>
      </c>
      <c r="E6" s="141"/>
      <c r="F6" s="141"/>
      <c r="G6" s="141"/>
      <c r="H6" s="141"/>
      <c r="I6" s="141"/>
      <c r="J6" s="141"/>
      <c r="K6" s="138"/>
      <c r="L6" s="139" t="str">
        <f t="shared" si="7"/>
        <v> Ravulapati %</v>
      </c>
      <c r="M6" s="142">
        <f t="shared" si="8"/>
        <v>0.2173913043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Miller")</f>
        <v> Miller</v>
      </c>
      <c r="D10" s="180"/>
      <c r="E10" s="179">
        <v>1.0</v>
      </c>
      <c r="F10" s="136"/>
      <c r="G10" s="136"/>
      <c r="K10" s="129">
        <v>1.0</v>
      </c>
      <c r="L10" s="136" t="str">
        <f>IFERROR(__xludf.DUMMYFUNCTION("REGEXEXTRACT(L3, ""( .*)+"")")," Schoenfeld")</f>
        <v> Schoenfeld</v>
      </c>
      <c r="M10" s="180"/>
      <c r="N10" s="179">
        <v>1.0</v>
      </c>
      <c r="P10" s="186"/>
      <c r="T10" s="132"/>
      <c r="U10" s="7"/>
    </row>
    <row r="11">
      <c r="A11" s="8"/>
      <c r="B11" s="129">
        <v>1.0</v>
      </c>
      <c r="C11" s="136" t="str">
        <f>IFERROR(__xludf.DUMMYFUNCTION("REGEXEXTRACT(C4, ""( .*)+"")")," Boyles")</f>
        <v> Boyles</v>
      </c>
      <c r="D11" s="180">
        <v>1.0</v>
      </c>
      <c r="E11" s="179"/>
      <c r="K11" s="129">
        <v>1.0</v>
      </c>
      <c r="L11" s="136" t="str">
        <f>IFERROR(__xludf.DUMMYFUNCTION("REGEXEXTRACT(L4, ""( .*)+"")")," Ravulapati")</f>
        <v> Ravulapati</v>
      </c>
      <c r="M11" s="180"/>
      <c r="N11" s="179">
        <v>1.0</v>
      </c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Miller</v>
      </c>
      <c r="D12" s="180">
        <v>1.0</v>
      </c>
      <c r="E12" s="179"/>
      <c r="K12" s="129">
        <f t="shared" ref="K12:K69" si="11">K10+1</f>
        <v>2</v>
      </c>
      <c r="L12" s="156" t="str">
        <f t="shared" ref="L12:L89" si="12">L10</f>
        <v> Schoenfeld</v>
      </c>
      <c r="M12" s="180">
        <v>1.0</v>
      </c>
      <c r="N12" s="179"/>
      <c r="P12" s="136">
        <v>1.0</v>
      </c>
      <c r="T12" s="132"/>
      <c r="U12" s="7"/>
    </row>
    <row r="13">
      <c r="A13" s="14"/>
      <c r="B13" s="135">
        <f t="shared" si="9"/>
        <v>2</v>
      </c>
      <c r="C13" s="156" t="str">
        <f t="shared" si="10"/>
        <v> Boyles</v>
      </c>
      <c r="D13" s="180">
        <v>1.0</v>
      </c>
      <c r="E13" s="179"/>
      <c r="K13" s="135">
        <f t="shared" si="11"/>
        <v>2</v>
      </c>
      <c r="L13" s="156" t="str">
        <f t="shared" si="12"/>
        <v> Ravulapati</v>
      </c>
      <c r="M13" s="180">
        <v>1.0</v>
      </c>
      <c r="N13" s="181"/>
      <c r="T13" s="132"/>
      <c r="U13" s="7"/>
    </row>
    <row r="14">
      <c r="A14" s="8"/>
      <c r="B14" s="129">
        <f t="shared" si="9"/>
        <v>3</v>
      </c>
      <c r="C14" s="156" t="str">
        <f t="shared" si="10"/>
        <v> Miller</v>
      </c>
      <c r="D14" s="180">
        <v>1.0</v>
      </c>
      <c r="E14" s="179"/>
      <c r="K14" s="129">
        <f t="shared" si="11"/>
        <v>3</v>
      </c>
      <c r="L14" s="156" t="str">
        <f t="shared" si="12"/>
        <v> Schoenfeld</v>
      </c>
      <c r="M14" s="180">
        <v>1.0</v>
      </c>
      <c r="N14" s="181"/>
      <c r="T14" s="132"/>
      <c r="U14" s="7"/>
    </row>
    <row r="15">
      <c r="A15" s="14"/>
      <c r="B15" s="135">
        <f t="shared" si="9"/>
        <v>3</v>
      </c>
      <c r="C15" s="156" t="str">
        <f t="shared" si="10"/>
        <v> Boyles</v>
      </c>
      <c r="D15" s="180">
        <v>1.0</v>
      </c>
      <c r="E15" s="179"/>
      <c r="K15" s="135">
        <f t="shared" si="11"/>
        <v>3</v>
      </c>
      <c r="L15" s="156" t="str">
        <f t="shared" si="12"/>
        <v> Ravulapati</v>
      </c>
      <c r="M15" s="180">
        <v>1.0</v>
      </c>
      <c r="N15" s="181"/>
      <c r="T15" s="132"/>
      <c r="U15" s="7"/>
    </row>
    <row r="16">
      <c r="A16" s="8"/>
      <c r="B16" s="129">
        <f t="shared" si="9"/>
        <v>4</v>
      </c>
      <c r="C16" s="156" t="str">
        <f t="shared" si="10"/>
        <v> Miller</v>
      </c>
      <c r="D16" s="180"/>
      <c r="E16" s="179">
        <v>1.0</v>
      </c>
      <c r="K16" s="129">
        <f t="shared" si="11"/>
        <v>4</v>
      </c>
      <c r="L16" s="156" t="str">
        <f t="shared" si="12"/>
        <v> Schoenfeld</v>
      </c>
      <c r="M16" s="180">
        <v>1.0</v>
      </c>
      <c r="N16" s="181"/>
      <c r="T16" s="132"/>
      <c r="U16" s="7"/>
    </row>
    <row r="17">
      <c r="A17" s="14"/>
      <c r="B17" s="135">
        <f t="shared" si="9"/>
        <v>4</v>
      </c>
      <c r="C17" s="156" t="str">
        <f t="shared" si="10"/>
        <v> Boyles</v>
      </c>
      <c r="D17" s="180">
        <v>1.0</v>
      </c>
      <c r="E17" s="179"/>
      <c r="K17" s="135">
        <f t="shared" si="11"/>
        <v>4</v>
      </c>
      <c r="L17" s="156" t="str">
        <f t="shared" si="12"/>
        <v> Ravulapati</v>
      </c>
      <c r="M17" s="180"/>
      <c r="N17" s="179">
        <v>1.0</v>
      </c>
      <c r="T17" s="132"/>
      <c r="U17" s="7"/>
    </row>
    <row r="18">
      <c r="A18" s="8"/>
      <c r="B18" s="129">
        <f t="shared" si="9"/>
        <v>5</v>
      </c>
      <c r="C18" s="156" t="str">
        <f t="shared" si="10"/>
        <v> Miller</v>
      </c>
      <c r="D18" s="180">
        <v>1.0</v>
      </c>
      <c r="E18" s="179"/>
      <c r="G18" s="136">
        <v>1.0</v>
      </c>
      <c r="K18" s="129">
        <f t="shared" si="11"/>
        <v>5</v>
      </c>
      <c r="L18" s="156" t="str">
        <f t="shared" si="12"/>
        <v> Schoenfeld</v>
      </c>
      <c r="M18" s="180"/>
      <c r="N18" s="181"/>
      <c r="T18" s="132"/>
      <c r="U18" s="7"/>
    </row>
    <row r="19">
      <c r="A19" s="14"/>
      <c r="B19" s="135">
        <f t="shared" si="9"/>
        <v>5</v>
      </c>
      <c r="C19" s="156" t="str">
        <f t="shared" si="10"/>
        <v> Boyles</v>
      </c>
      <c r="D19" s="180">
        <v>1.0</v>
      </c>
      <c r="E19" s="181"/>
      <c r="K19" s="135">
        <f t="shared" si="11"/>
        <v>5</v>
      </c>
      <c r="L19" s="156" t="str">
        <f t="shared" si="12"/>
        <v> Ravulapati</v>
      </c>
      <c r="M19" s="180">
        <v>1.0</v>
      </c>
      <c r="N19" s="179"/>
      <c r="T19" s="132"/>
      <c r="U19" s="7"/>
    </row>
    <row r="20">
      <c r="A20" s="8"/>
      <c r="B20" s="129">
        <f t="shared" si="9"/>
        <v>6</v>
      </c>
      <c r="C20" s="156" t="str">
        <f t="shared" si="10"/>
        <v> Miller</v>
      </c>
      <c r="D20" s="180">
        <v>1.0</v>
      </c>
      <c r="E20" s="179"/>
      <c r="K20" s="129">
        <f t="shared" si="11"/>
        <v>6</v>
      </c>
      <c r="L20" s="156" t="str">
        <f t="shared" si="12"/>
        <v> Schoenfeld</v>
      </c>
      <c r="M20" s="180">
        <v>1.0</v>
      </c>
      <c r="N20" s="181"/>
      <c r="T20" s="132"/>
      <c r="U20" s="7"/>
    </row>
    <row r="21">
      <c r="A21" s="14"/>
      <c r="B21" s="135">
        <f t="shared" si="9"/>
        <v>6</v>
      </c>
      <c r="C21" s="156" t="str">
        <f t="shared" si="10"/>
        <v> Boyles</v>
      </c>
      <c r="D21" s="180">
        <v>1.0</v>
      </c>
      <c r="E21" s="181"/>
      <c r="K21" s="135">
        <f t="shared" si="11"/>
        <v>6</v>
      </c>
      <c r="L21" s="156" t="str">
        <f t="shared" si="12"/>
        <v> Ravulapati</v>
      </c>
      <c r="M21" s="180"/>
      <c r="N21" s="179">
        <v>1.0</v>
      </c>
      <c r="T21" s="132"/>
      <c r="U21" s="7"/>
    </row>
    <row r="22">
      <c r="A22" s="8"/>
      <c r="B22" s="129">
        <f t="shared" si="9"/>
        <v>7</v>
      </c>
      <c r="C22" s="156" t="str">
        <f t="shared" si="10"/>
        <v> Miller</v>
      </c>
      <c r="D22" s="180">
        <v>1.0</v>
      </c>
      <c r="E22" s="181"/>
      <c r="K22" s="129">
        <f t="shared" si="11"/>
        <v>7</v>
      </c>
      <c r="L22" s="156" t="str">
        <f t="shared" si="12"/>
        <v> Schoenfeld</v>
      </c>
      <c r="M22" s="180"/>
      <c r="N22" s="179">
        <v>1.0</v>
      </c>
      <c r="T22" s="132"/>
      <c r="U22" s="7"/>
    </row>
    <row r="23">
      <c r="A23" s="14"/>
      <c r="B23" s="135">
        <f t="shared" si="9"/>
        <v>7</v>
      </c>
      <c r="C23" s="156" t="str">
        <f t="shared" si="10"/>
        <v> Boyles</v>
      </c>
      <c r="D23" s="180"/>
      <c r="E23" s="179">
        <v>1.0</v>
      </c>
      <c r="K23" s="135">
        <f t="shared" si="11"/>
        <v>7</v>
      </c>
      <c r="L23" s="156" t="str">
        <f t="shared" si="12"/>
        <v> Ravulapati</v>
      </c>
      <c r="M23" s="180">
        <v>1.0</v>
      </c>
      <c r="N23" s="181"/>
      <c r="T23" s="132"/>
      <c r="U23" s="7"/>
    </row>
    <row r="24">
      <c r="A24" s="8"/>
      <c r="B24" s="129">
        <f t="shared" si="9"/>
        <v>8</v>
      </c>
      <c r="C24" s="156" t="str">
        <f t="shared" si="10"/>
        <v> Miller</v>
      </c>
      <c r="D24" s="180">
        <v>1.0</v>
      </c>
      <c r="E24" s="181"/>
      <c r="G24" s="136">
        <v>1.0</v>
      </c>
      <c r="K24" s="129">
        <f t="shared" si="11"/>
        <v>8</v>
      </c>
      <c r="L24" s="156" t="str">
        <f t="shared" si="12"/>
        <v> Schoenfeld</v>
      </c>
      <c r="M24" s="180">
        <v>1.0</v>
      </c>
      <c r="N24" s="181"/>
      <c r="T24" s="132"/>
      <c r="U24" s="7"/>
    </row>
    <row r="25">
      <c r="A25" s="14"/>
      <c r="B25" s="135">
        <f t="shared" si="9"/>
        <v>8</v>
      </c>
      <c r="C25" s="156" t="str">
        <f t="shared" si="10"/>
        <v> Boyles</v>
      </c>
      <c r="D25" s="180">
        <v>1.0</v>
      </c>
      <c r="E25" s="181"/>
      <c r="K25" s="135">
        <f t="shared" si="11"/>
        <v>8</v>
      </c>
      <c r="L25" s="156" t="str">
        <f t="shared" si="12"/>
        <v> Ravulapati</v>
      </c>
      <c r="M25" s="180">
        <v>1.0</v>
      </c>
      <c r="N25" s="179"/>
      <c r="T25" s="132"/>
      <c r="U25" s="7"/>
    </row>
    <row r="26">
      <c r="A26" s="8"/>
      <c r="B26" s="129">
        <f t="shared" si="9"/>
        <v>9</v>
      </c>
      <c r="C26" s="156" t="str">
        <f t="shared" si="10"/>
        <v> Miller</v>
      </c>
      <c r="D26" s="180">
        <v>1.0</v>
      </c>
      <c r="E26" s="181"/>
      <c r="K26" s="129">
        <f t="shared" si="11"/>
        <v>9</v>
      </c>
      <c r="L26" s="156" t="str">
        <f t="shared" si="12"/>
        <v> Schoenfeld</v>
      </c>
      <c r="M26" s="180">
        <v>1.0</v>
      </c>
      <c r="N26" s="181"/>
      <c r="T26" s="132"/>
      <c r="U26" s="7"/>
    </row>
    <row r="27">
      <c r="A27" s="14"/>
      <c r="B27" s="135">
        <f t="shared" si="9"/>
        <v>9</v>
      </c>
      <c r="C27" s="156" t="str">
        <f t="shared" si="10"/>
        <v> Boyles</v>
      </c>
      <c r="D27" s="180"/>
      <c r="E27" s="179">
        <v>1.0</v>
      </c>
      <c r="K27" s="135">
        <f t="shared" si="11"/>
        <v>9</v>
      </c>
      <c r="L27" s="156" t="str">
        <f t="shared" si="12"/>
        <v> Ravulapati</v>
      </c>
      <c r="M27" s="180">
        <v>1.0</v>
      </c>
      <c r="N27" s="181"/>
      <c r="T27" s="132"/>
      <c r="U27" s="7"/>
    </row>
    <row r="28">
      <c r="A28" s="8"/>
      <c r="B28" s="129">
        <f t="shared" si="9"/>
        <v>10</v>
      </c>
      <c r="C28" s="156" t="str">
        <f t="shared" si="10"/>
        <v> Miller</v>
      </c>
      <c r="D28" s="180">
        <v>1.0</v>
      </c>
      <c r="E28" s="181"/>
      <c r="K28" s="129">
        <f t="shared" si="11"/>
        <v>10</v>
      </c>
      <c r="L28" s="156" t="str">
        <f t="shared" si="12"/>
        <v> Schoenfeld</v>
      </c>
      <c r="M28" s="180">
        <v>1.0</v>
      </c>
      <c r="N28" s="181"/>
      <c r="T28" s="132"/>
      <c r="U28" s="7"/>
    </row>
    <row r="29">
      <c r="A29" s="14"/>
      <c r="B29" s="135">
        <f t="shared" si="9"/>
        <v>10</v>
      </c>
      <c r="C29" s="156" t="str">
        <f t="shared" si="10"/>
        <v> Boyles</v>
      </c>
      <c r="D29" s="180">
        <v>1.0</v>
      </c>
      <c r="E29" s="181"/>
      <c r="K29" s="135">
        <f t="shared" si="11"/>
        <v>10</v>
      </c>
      <c r="L29" s="156" t="str">
        <f t="shared" si="12"/>
        <v> Ravulapati</v>
      </c>
      <c r="M29" s="180">
        <v>1.0</v>
      </c>
      <c r="N29" s="181"/>
      <c r="T29" s="132"/>
      <c r="U29" s="7"/>
    </row>
    <row r="30">
      <c r="A30" s="8"/>
      <c r="B30" s="129">
        <f t="shared" si="9"/>
        <v>11</v>
      </c>
      <c r="C30" s="156" t="str">
        <f t="shared" si="10"/>
        <v> Miller</v>
      </c>
      <c r="D30" s="180"/>
      <c r="E30" s="179">
        <v>1.0</v>
      </c>
      <c r="K30" s="129">
        <f t="shared" si="11"/>
        <v>11</v>
      </c>
      <c r="L30" s="156" t="str">
        <f t="shared" si="12"/>
        <v> Schoenfeld</v>
      </c>
      <c r="M30" s="180">
        <v>1.0</v>
      </c>
      <c r="N30" s="181"/>
      <c r="T30" s="132"/>
      <c r="U30" s="7"/>
    </row>
    <row r="31">
      <c r="A31" s="14"/>
      <c r="B31" s="135">
        <f t="shared" si="9"/>
        <v>11</v>
      </c>
      <c r="C31" s="156" t="str">
        <f t="shared" si="10"/>
        <v> Boyles</v>
      </c>
      <c r="D31" s="180">
        <v>1.0</v>
      </c>
      <c r="E31" s="181"/>
      <c r="K31" s="135">
        <f t="shared" si="11"/>
        <v>11</v>
      </c>
      <c r="L31" s="156" t="str">
        <f t="shared" si="12"/>
        <v> Ravulapati</v>
      </c>
      <c r="M31" s="180">
        <v>1.0</v>
      </c>
      <c r="N31" s="179"/>
      <c r="T31" s="132"/>
      <c r="U31" s="7"/>
    </row>
    <row r="32">
      <c r="A32" s="8"/>
      <c r="B32" s="129">
        <f t="shared" si="9"/>
        <v>12</v>
      </c>
      <c r="C32" s="156" t="str">
        <f t="shared" si="10"/>
        <v> Miller</v>
      </c>
      <c r="D32" s="180">
        <v>1.0</v>
      </c>
      <c r="E32" s="181"/>
      <c r="K32" s="129">
        <f t="shared" si="11"/>
        <v>12</v>
      </c>
      <c r="L32" s="156" t="str">
        <f t="shared" si="12"/>
        <v> Schoenfeld</v>
      </c>
      <c r="M32" s="180">
        <v>1.0</v>
      </c>
      <c r="N32" s="181"/>
      <c r="T32" s="132"/>
      <c r="U32" s="7"/>
    </row>
    <row r="33">
      <c r="A33" s="14"/>
      <c r="B33" s="135">
        <f t="shared" si="9"/>
        <v>12</v>
      </c>
      <c r="C33" s="156" t="str">
        <f t="shared" si="10"/>
        <v> Boyles</v>
      </c>
      <c r="D33" s="180">
        <v>1.0</v>
      </c>
      <c r="E33" s="181"/>
      <c r="K33" s="135">
        <f t="shared" si="11"/>
        <v>12</v>
      </c>
      <c r="L33" s="156" t="str">
        <f t="shared" si="12"/>
        <v> Ravulapati</v>
      </c>
      <c r="M33" s="180">
        <v>1.0</v>
      </c>
      <c r="N33" s="179"/>
      <c r="T33" s="132"/>
      <c r="U33" s="7"/>
    </row>
    <row r="34">
      <c r="A34" s="8"/>
      <c r="B34" s="129">
        <f t="shared" si="9"/>
        <v>13</v>
      </c>
      <c r="C34" s="156" t="str">
        <f t="shared" si="10"/>
        <v> Miller</v>
      </c>
      <c r="D34" s="180">
        <v>1.0</v>
      </c>
      <c r="E34" s="181"/>
      <c r="K34" s="129">
        <f t="shared" si="11"/>
        <v>13</v>
      </c>
      <c r="L34" s="156" t="str">
        <f t="shared" si="12"/>
        <v> Schoenfeld</v>
      </c>
      <c r="M34" s="180">
        <v>1.0</v>
      </c>
      <c r="N34" s="181"/>
      <c r="P34" s="136">
        <v>1.0</v>
      </c>
      <c r="T34" s="132"/>
      <c r="U34" s="7"/>
    </row>
    <row r="35">
      <c r="A35" s="14"/>
      <c r="B35" s="135">
        <f t="shared" si="9"/>
        <v>13</v>
      </c>
      <c r="C35" s="156" t="str">
        <f t="shared" si="10"/>
        <v> Boyles</v>
      </c>
      <c r="D35" s="180">
        <v>1.0</v>
      </c>
      <c r="E35" s="181"/>
      <c r="K35" s="135">
        <f t="shared" si="11"/>
        <v>13</v>
      </c>
      <c r="L35" s="156" t="str">
        <f t="shared" si="12"/>
        <v> Ravulapati</v>
      </c>
      <c r="M35" s="180">
        <v>1.0</v>
      </c>
      <c r="N35" s="181"/>
      <c r="T35" s="132"/>
      <c r="U35" s="7"/>
    </row>
    <row r="36">
      <c r="A36" s="8"/>
      <c r="B36" s="129">
        <f t="shared" si="9"/>
        <v>14</v>
      </c>
      <c r="C36" s="156" t="str">
        <f t="shared" si="10"/>
        <v> Miller</v>
      </c>
      <c r="D36" s="180">
        <v>1.0</v>
      </c>
      <c r="E36" s="181"/>
      <c r="K36" s="129">
        <f t="shared" si="11"/>
        <v>14</v>
      </c>
      <c r="L36" s="156" t="str">
        <f t="shared" si="12"/>
        <v> Schoenfeld</v>
      </c>
      <c r="M36" s="180">
        <v>1.0</v>
      </c>
      <c r="N36" s="181"/>
      <c r="T36" s="132"/>
      <c r="U36" s="7"/>
    </row>
    <row r="37">
      <c r="A37" s="14"/>
      <c r="B37" s="135">
        <f t="shared" si="9"/>
        <v>14</v>
      </c>
      <c r="C37" s="156" t="str">
        <f t="shared" si="10"/>
        <v> Boyles</v>
      </c>
      <c r="D37" s="180">
        <v>1.0</v>
      </c>
      <c r="E37" s="181"/>
      <c r="K37" s="135">
        <f t="shared" si="11"/>
        <v>14</v>
      </c>
      <c r="L37" s="156" t="str">
        <f t="shared" si="12"/>
        <v> Ravulapati</v>
      </c>
      <c r="M37" s="180">
        <v>1.0</v>
      </c>
      <c r="N37" s="181"/>
      <c r="T37" s="132"/>
      <c r="U37" s="7"/>
    </row>
    <row r="38">
      <c r="A38" s="8"/>
      <c r="B38" s="129">
        <f t="shared" si="9"/>
        <v>15</v>
      </c>
      <c r="C38" s="156" t="str">
        <f t="shared" si="10"/>
        <v> Miller</v>
      </c>
      <c r="D38" s="180">
        <v>1.0</v>
      </c>
      <c r="E38" s="181"/>
      <c r="K38" s="129">
        <f t="shared" si="11"/>
        <v>15</v>
      </c>
      <c r="L38" s="156" t="str">
        <f t="shared" si="12"/>
        <v> Schoenfeld</v>
      </c>
      <c r="M38" s="180">
        <v>1.0</v>
      </c>
      <c r="N38" s="181"/>
      <c r="T38" s="132"/>
      <c r="U38" s="7"/>
    </row>
    <row r="39">
      <c r="A39" s="14"/>
      <c r="B39" s="135">
        <f t="shared" si="9"/>
        <v>15</v>
      </c>
      <c r="C39" s="156" t="str">
        <f t="shared" si="10"/>
        <v> Boyles</v>
      </c>
      <c r="D39" s="180"/>
      <c r="E39" s="179">
        <v>1.0</v>
      </c>
      <c r="K39" s="135">
        <f t="shared" si="11"/>
        <v>15</v>
      </c>
      <c r="L39" s="156" t="str">
        <f t="shared" si="12"/>
        <v> Ravulapati</v>
      </c>
      <c r="M39" s="180"/>
      <c r="N39" s="179">
        <v>1.0</v>
      </c>
      <c r="T39" s="132"/>
      <c r="U39" s="7"/>
    </row>
    <row r="40">
      <c r="A40" s="8"/>
      <c r="B40" s="129">
        <f t="shared" si="9"/>
        <v>16</v>
      </c>
      <c r="C40" s="156" t="str">
        <f t="shared" si="10"/>
        <v> Miller</v>
      </c>
      <c r="D40" s="180">
        <v>1.0</v>
      </c>
      <c r="E40" s="179"/>
      <c r="K40" s="129">
        <f t="shared" si="11"/>
        <v>16</v>
      </c>
      <c r="L40" s="156" t="str">
        <f t="shared" si="12"/>
        <v> Schoenfeld</v>
      </c>
      <c r="M40" s="180">
        <v>1.0</v>
      </c>
      <c r="N40" s="181"/>
      <c r="T40" s="132"/>
      <c r="U40" s="7"/>
    </row>
    <row r="41">
      <c r="A41" s="14"/>
      <c r="B41" s="135">
        <f t="shared" si="9"/>
        <v>16</v>
      </c>
      <c r="C41" s="156" t="str">
        <f t="shared" si="10"/>
        <v> Boyles</v>
      </c>
      <c r="D41" s="180">
        <v>1.0</v>
      </c>
      <c r="E41" s="181"/>
      <c r="K41" s="135">
        <f t="shared" si="11"/>
        <v>16</v>
      </c>
      <c r="L41" s="156" t="str">
        <f t="shared" si="12"/>
        <v> Ravulapati</v>
      </c>
      <c r="M41" s="180">
        <v>1.0</v>
      </c>
      <c r="N41" s="179"/>
      <c r="T41" s="132"/>
      <c r="U41" s="7"/>
    </row>
    <row r="42">
      <c r="A42" s="8"/>
      <c r="B42" s="129">
        <f t="shared" si="9"/>
        <v>17</v>
      </c>
      <c r="C42" s="156" t="str">
        <f t="shared" si="10"/>
        <v> Miller</v>
      </c>
      <c r="D42" s="180">
        <v>1.0</v>
      </c>
      <c r="E42" s="181"/>
      <c r="K42" s="129">
        <f t="shared" si="11"/>
        <v>17</v>
      </c>
      <c r="L42" s="156" t="str">
        <f t="shared" si="12"/>
        <v> Schoenfeld</v>
      </c>
      <c r="M42" s="180">
        <v>1.0</v>
      </c>
      <c r="N42" s="181"/>
      <c r="T42" s="132"/>
      <c r="U42" s="7"/>
    </row>
    <row r="43">
      <c r="A43" s="14"/>
      <c r="B43" s="135">
        <f t="shared" si="9"/>
        <v>17</v>
      </c>
      <c r="C43" s="156" t="str">
        <f t="shared" si="10"/>
        <v> Boyles</v>
      </c>
      <c r="D43" s="178"/>
      <c r="E43" s="179">
        <v>1.0</v>
      </c>
      <c r="K43" s="135">
        <f t="shared" si="11"/>
        <v>17</v>
      </c>
      <c r="L43" s="156" t="str">
        <f t="shared" si="12"/>
        <v> Ravulapati</v>
      </c>
      <c r="M43" s="180">
        <v>1.0</v>
      </c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Miller</v>
      </c>
      <c r="D44" s="180">
        <v>1.0</v>
      </c>
      <c r="E44" s="181"/>
      <c r="K44" s="129">
        <f t="shared" si="11"/>
        <v>18</v>
      </c>
      <c r="L44" s="156" t="str">
        <f t="shared" si="12"/>
        <v> Schoenfeld</v>
      </c>
      <c r="M44" s="180">
        <v>1.0</v>
      </c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Boyles</v>
      </c>
      <c r="D45" s="180">
        <v>1.0</v>
      </c>
      <c r="E45" s="181"/>
      <c r="K45" s="129">
        <f t="shared" si="11"/>
        <v>18</v>
      </c>
      <c r="L45" s="156" t="str">
        <f t="shared" si="12"/>
        <v> Ravulapati</v>
      </c>
      <c r="M45" s="180">
        <v>1.0</v>
      </c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Miller</v>
      </c>
      <c r="D46" s="180">
        <v>1.0</v>
      </c>
      <c r="E46" s="181"/>
      <c r="F46" s="136">
        <v>1.0</v>
      </c>
      <c r="K46" s="135">
        <f t="shared" si="11"/>
        <v>19</v>
      </c>
      <c r="L46" s="156" t="str">
        <f t="shared" si="12"/>
        <v> Schoenfeld</v>
      </c>
      <c r="M46" s="180"/>
      <c r="N46" s="179">
        <v>1.0</v>
      </c>
      <c r="T46" s="132"/>
      <c r="U46" s="7"/>
    </row>
    <row r="47">
      <c r="A47" s="8"/>
      <c r="B47" s="129">
        <f t="shared" si="9"/>
        <v>19</v>
      </c>
      <c r="C47" s="156" t="str">
        <f t="shared" si="10"/>
        <v> Boyles</v>
      </c>
      <c r="D47" s="180"/>
      <c r="E47" s="179">
        <v>1.0</v>
      </c>
      <c r="K47" s="129">
        <f t="shared" si="11"/>
        <v>19</v>
      </c>
      <c r="L47" s="156" t="str">
        <f t="shared" si="12"/>
        <v> Ravulapati</v>
      </c>
      <c r="M47" s="180">
        <v>1.0</v>
      </c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Miller</v>
      </c>
      <c r="D48" s="180">
        <v>1.0</v>
      </c>
      <c r="E48" s="181"/>
      <c r="K48" s="135">
        <f t="shared" si="11"/>
        <v>20</v>
      </c>
      <c r="L48" s="156" t="str">
        <f t="shared" si="12"/>
        <v> Schoenfeld</v>
      </c>
      <c r="M48" s="180">
        <v>1.0</v>
      </c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Boyles</v>
      </c>
      <c r="D49" s="180">
        <v>1.0</v>
      </c>
      <c r="E49" s="179"/>
      <c r="K49" s="129">
        <f t="shared" si="11"/>
        <v>20</v>
      </c>
      <c r="L49" s="156" t="str">
        <f t="shared" si="12"/>
        <v> Ravulapati</v>
      </c>
      <c r="M49" s="180">
        <v>1.0</v>
      </c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Miller</v>
      </c>
      <c r="D50" s="180">
        <v>1.0</v>
      </c>
      <c r="E50" s="181"/>
      <c r="K50" s="129">
        <f t="shared" si="11"/>
        <v>21</v>
      </c>
      <c r="L50" s="156" t="str">
        <f t="shared" si="12"/>
        <v> Schoenfeld</v>
      </c>
      <c r="M50" s="180">
        <v>1.0</v>
      </c>
      <c r="N50" s="181"/>
      <c r="O50" s="136">
        <v>1.0</v>
      </c>
      <c r="T50" s="132"/>
      <c r="U50" s="7"/>
    </row>
    <row r="51">
      <c r="A51" s="14"/>
      <c r="B51" s="135">
        <f t="shared" si="9"/>
        <v>21</v>
      </c>
      <c r="C51" s="156" t="str">
        <f t="shared" si="10"/>
        <v> Boyles</v>
      </c>
      <c r="D51" s="180">
        <v>1.0</v>
      </c>
      <c r="E51" s="181"/>
      <c r="K51" s="135">
        <f t="shared" si="11"/>
        <v>21</v>
      </c>
      <c r="L51" s="156" t="str">
        <f t="shared" si="12"/>
        <v> Ravulapati</v>
      </c>
      <c r="M51" s="180">
        <v>1.0</v>
      </c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Miller</v>
      </c>
      <c r="D52" s="180">
        <v>1.0</v>
      </c>
      <c r="E52" s="181"/>
      <c r="K52" s="129">
        <f t="shared" si="11"/>
        <v>22</v>
      </c>
      <c r="L52" s="156" t="str">
        <f t="shared" si="12"/>
        <v> Schoenfeld</v>
      </c>
      <c r="M52" s="180">
        <v>1.0</v>
      </c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Boyles</v>
      </c>
      <c r="D53" s="180">
        <v>1.0</v>
      </c>
      <c r="E53" s="181"/>
      <c r="K53" s="135">
        <f t="shared" si="11"/>
        <v>22</v>
      </c>
      <c r="L53" s="156" t="str">
        <f t="shared" si="12"/>
        <v> Ravulapati</v>
      </c>
      <c r="M53" s="178"/>
      <c r="N53" s="179">
        <v>1.0</v>
      </c>
      <c r="T53" s="132"/>
      <c r="U53" s="7"/>
    </row>
    <row r="54">
      <c r="A54" s="8"/>
      <c r="B54" s="129">
        <f t="shared" si="9"/>
        <v>23</v>
      </c>
      <c r="C54" s="156" t="str">
        <f t="shared" si="10"/>
        <v> Miller</v>
      </c>
      <c r="D54" s="180">
        <v>1.0</v>
      </c>
      <c r="E54" s="181"/>
      <c r="K54" s="129">
        <f t="shared" si="11"/>
        <v>23</v>
      </c>
      <c r="L54" s="156" t="str">
        <f t="shared" si="12"/>
        <v> Schoenfeld</v>
      </c>
      <c r="M54" s="178"/>
      <c r="N54" s="179">
        <v>1.0</v>
      </c>
      <c r="T54" s="132"/>
      <c r="U54" s="7"/>
    </row>
    <row r="55">
      <c r="A55" s="14"/>
      <c r="B55" s="135">
        <f t="shared" si="9"/>
        <v>23</v>
      </c>
      <c r="C55" s="156" t="str">
        <f t="shared" si="10"/>
        <v> Boyles</v>
      </c>
      <c r="D55" s="180">
        <v>1.0</v>
      </c>
      <c r="E55" s="181"/>
      <c r="K55" s="135">
        <f t="shared" si="11"/>
        <v>23</v>
      </c>
      <c r="L55" s="156" t="str">
        <f t="shared" si="12"/>
        <v> Ravulapati</v>
      </c>
      <c r="M55" s="180">
        <v>1.0</v>
      </c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Miller</v>
      </c>
      <c r="D56" s="180">
        <v>1.0</v>
      </c>
      <c r="E56" s="181"/>
      <c r="K56" s="129">
        <f t="shared" si="11"/>
        <v>24</v>
      </c>
      <c r="L56" s="156" t="str">
        <f t="shared" si="12"/>
        <v> Schoenfeld</v>
      </c>
      <c r="M56" s="178"/>
      <c r="N56" s="179">
        <v>1.0</v>
      </c>
      <c r="T56" s="132"/>
      <c r="U56" s="7"/>
    </row>
    <row r="57">
      <c r="A57" s="8"/>
      <c r="B57" s="129">
        <f t="shared" si="9"/>
        <v>24</v>
      </c>
      <c r="C57" s="156" t="str">
        <f t="shared" si="10"/>
        <v> Boyles</v>
      </c>
      <c r="D57" s="180">
        <v>1.0</v>
      </c>
      <c r="E57" s="181"/>
      <c r="K57" s="129">
        <f t="shared" si="11"/>
        <v>24</v>
      </c>
      <c r="L57" s="156" t="str">
        <f t="shared" si="12"/>
        <v> Ravulapati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Miller</v>
      </c>
      <c r="D58" s="178"/>
      <c r="E58" s="181"/>
      <c r="K58" s="135">
        <f t="shared" si="11"/>
        <v>25</v>
      </c>
      <c r="L58" s="156" t="str">
        <f t="shared" si="12"/>
        <v> Schoenfeld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Boyles</v>
      </c>
      <c r="D59" s="178"/>
      <c r="E59" s="181"/>
      <c r="K59" s="129">
        <f t="shared" si="11"/>
        <v>25</v>
      </c>
      <c r="L59" s="156" t="str">
        <f t="shared" si="12"/>
        <v> Ravulapati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Miller</v>
      </c>
      <c r="D60" s="178"/>
      <c r="E60" s="181"/>
      <c r="K60" s="135">
        <f t="shared" si="11"/>
        <v>26</v>
      </c>
      <c r="L60" s="156" t="str">
        <f t="shared" si="12"/>
        <v> Schoenfeld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Boyles</v>
      </c>
      <c r="D61" s="178"/>
      <c r="E61" s="181"/>
      <c r="K61" s="129">
        <f t="shared" si="11"/>
        <v>26</v>
      </c>
      <c r="L61" s="156" t="str">
        <f t="shared" si="12"/>
        <v> Ravulapati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Miller</v>
      </c>
      <c r="D62" s="178"/>
      <c r="E62" s="181"/>
      <c r="K62" s="135">
        <f t="shared" si="11"/>
        <v>27</v>
      </c>
      <c r="L62" s="156" t="str">
        <f t="shared" si="12"/>
        <v> Schoenfeld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Boyles</v>
      </c>
      <c r="D63" s="178"/>
      <c r="E63" s="181"/>
      <c r="K63" s="129">
        <f t="shared" si="11"/>
        <v>27</v>
      </c>
      <c r="L63" s="156" t="str">
        <f t="shared" si="12"/>
        <v> Ravulapati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Miller</v>
      </c>
      <c r="D64" s="178"/>
      <c r="E64" s="181"/>
      <c r="K64" s="135">
        <f t="shared" si="11"/>
        <v>28</v>
      </c>
      <c r="L64" s="156" t="str">
        <f t="shared" si="12"/>
        <v> Schoenfeld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Boyles</v>
      </c>
      <c r="D65" s="178"/>
      <c r="E65" s="181"/>
      <c r="K65" s="129">
        <f t="shared" si="11"/>
        <v>28</v>
      </c>
      <c r="L65" s="156" t="str">
        <f t="shared" si="12"/>
        <v> Ravulapati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Miller</v>
      </c>
      <c r="D66" s="178"/>
      <c r="E66" s="181"/>
      <c r="K66" s="135">
        <f t="shared" si="11"/>
        <v>29</v>
      </c>
      <c r="L66" s="156" t="str">
        <f t="shared" si="12"/>
        <v> Schoenfeld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Boyles</v>
      </c>
      <c r="D67" s="178"/>
      <c r="E67" s="181"/>
      <c r="K67" s="135">
        <f t="shared" si="11"/>
        <v>29</v>
      </c>
      <c r="L67" s="156" t="str">
        <f t="shared" si="12"/>
        <v> Ravulapati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Miller</v>
      </c>
      <c r="D68" s="178"/>
      <c r="E68" s="181"/>
      <c r="K68" s="135">
        <f t="shared" si="11"/>
        <v>30</v>
      </c>
      <c r="L68" s="156" t="str">
        <f t="shared" si="12"/>
        <v> Schoenfeld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Boyles</v>
      </c>
      <c r="D69" s="178"/>
      <c r="E69" s="181"/>
      <c r="K69" s="135">
        <f t="shared" si="11"/>
        <v>30</v>
      </c>
      <c r="L69" s="156" t="str">
        <f t="shared" si="12"/>
        <v> Ravulapati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Miller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Schoenfeld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Boyles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Ravulapati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Miller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Schoenfeld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Boyles</v>
      </c>
      <c r="D73" s="178"/>
      <c r="E73" s="181"/>
      <c r="K73" s="129">
        <v>32.0</v>
      </c>
      <c r="L73" s="156" t="str">
        <f t="shared" si="12"/>
        <v> Ravulapati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Miller</v>
      </c>
      <c r="D74" s="192"/>
      <c r="E74" s="181"/>
      <c r="K74" s="129">
        <v>33.0</v>
      </c>
      <c r="L74" s="156" t="str">
        <f t="shared" si="12"/>
        <v> Schoenfeld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Boyles</v>
      </c>
      <c r="D75" s="178"/>
      <c r="E75" s="181"/>
      <c r="K75" s="129">
        <v>33.0</v>
      </c>
      <c r="L75" s="156" t="str">
        <f t="shared" si="12"/>
        <v> Ravulapati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Miller</v>
      </c>
      <c r="D76" s="178"/>
      <c r="E76" s="181"/>
      <c r="K76" s="129">
        <v>34.0</v>
      </c>
      <c r="L76" s="156" t="str">
        <f t="shared" si="12"/>
        <v> Schoenfeld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Boyles</v>
      </c>
      <c r="D77" s="178"/>
      <c r="E77" s="181"/>
      <c r="K77" s="129">
        <v>34.0</v>
      </c>
      <c r="L77" s="156" t="str">
        <f t="shared" si="12"/>
        <v> Ravulapati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Miller</v>
      </c>
      <c r="D78" s="178"/>
      <c r="E78" s="181"/>
      <c r="K78" s="129">
        <v>35.0</v>
      </c>
      <c r="L78" s="156" t="str">
        <f t="shared" si="12"/>
        <v> Schoenfeld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Boyles</v>
      </c>
      <c r="D79" s="178"/>
      <c r="E79" s="181"/>
      <c r="K79" s="129">
        <v>35.0</v>
      </c>
      <c r="L79" s="156" t="str">
        <f t="shared" si="12"/>
        <v> Ravulapati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Miller</v>
      </c>
      <c r="D80" s="178"/>
      <c r="E80" s="181"/>
      <c r="K80" s="129">
        <v>36.0</v>
      </c>
      <c r="L80" s="156" t="str">
        <f t="shared" si="12"/>
        <v> Schoenfeld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Boyles</v>
      </c>
      <c r="D81" s="178"/>
      <c r="E81" s="181"/>
      <c r="K81" s="129">
        <v>36.0</v>
      </c>
      <c r="L81" s="156" t="str">
        <f t="shared" si="12"/>
        <v> Ravulapati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Miller</v>
      </c>
      <c r="D82" s="178"/>
      <c r="E82" s="181"/>
      <c r="K82" s="129">
        <v>37.0</v>
      </c>
      <c r="L82" s="156" t="str">
        <f t="shared" si="12"/>
        <v> Schoenfeld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Boyles</v>
      </c>
      <c r="D83" s="178"/>
      <c r="E83" s="181"/>
      <c r="K83" s="129">
        <v>37.0</v>
      </c>
      <c r="L83" s="156" t="str">
        <f t="shared" si="12"/>
        <v> Ravulapati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Miller</v>
      </c>
      <c r="D84" s="178"/>
      <c r="E84" s="181"/>
      <c r="K84" s="129">
        <v>38.0</v>
      </c>
      <c r="L84" s="156" t="str">
        <f t="shared" si="12"/>
        <v> Schoenfeld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Boyles</v>
      </c>
      <c r="D85" s="178"/>
      <c r="E85" s="181"/>
      <c r="K85" s="129">
        <v>38.0</v>
      </c>
      <c r="L85" s="156" t="str">
        <f t="shared" si="12"/>
        <v> Ravulapati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Miller</v>
      </c>
      <c r="D86" s="178"/>
      <c r="E86" s="181"/>
      <c r="K86" s="129">
        <v>39.0</v>
      </c>
      <c r="L86" s="156" t="str">
        <f t="shared" si="12"/>
        <v> Schoenfeld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Boyles</v>
      </c>
      <c r="D87" s="178"/>
      <c r="E87" s="181"/>
      <c r="K87" s="129">
        <v>39.0</v>
      </c>
      <c r="L87" s="156" t="str">
        <f t="shared" si="12"/>
        <v> Ravulapati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Miller</v>
      </c>
      <c r="D88" s="178"/>
      <c r="E88" s="181"/>
      <c r="K88" s="129">
        <v>40.0</v>
      </c>
      <c r="L88" s="156" t="str">
        <f t="shared" si="12"/>
        <v> Schoenfeld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Boyles</v>
      </c>
      <c r="D89" s="178"/>
      <c r="E89" s="181"/>
      <c r="K89" s="129">
        <v>40.0</v>
      </c>
      <c r="L89" s="156" t="str">
        <f t="shared" si="12"/>
        <v> Ravulapati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0.13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80</v>
      </c>
      <c r="D3" s="189">
        <f t="shared" ref="D3:J3" si="1">SUMPRODUCT(D10:D90,MOD(ROW(D10:D90),2)=0)</f>
        <v>6</v>
      </c>
      <c r="E3" s="189">
        <f t="shared" si="1"/>
        <v>1</v>
      </c>
      <c r="F3" s="189">
        <f t="shared" si="1"/>
        <v>0</v>
      </c>
      <c r="G3" s="189">
        <f t="shared" si="1"/>
        <v>0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74</v>
      </c>
      <c r="M3" s="189">
        <f t="shared" ref="M3:S3" si="2">SUMPRODUCT(M10:M90,MOD(ROW(M10:M90),2)=0)</f>
        <v>2</v>
      </c>
      <c r="N3" s="189">
        <f t="shared" si="2"/>
        <v>6</v>
      </c>
      <c r="O3" s="189">
        <f t="shared" si="2"/>
        <v>0</v>
      </c>
      <c r="P3" s="189">
        <f t="shared" si="2"/>
        <v>0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97</v>
      </c>
      <c r="D4" s="191">
        <f t="shared" ref="D4:J4" si="3">SUMPRODUCT(D10:D90,MOD(ROW(D10:D90),2))</f>
        <v>6</v>
      </c>
      <c r="E4" s="191">
        <f t="shared" si="3"/>
        <v>1</v>
      </c>
      <c r="F4" s="191">
        <f t="shared" si="3"/>
        <v>1</v>
      </c>
      <c r="G4" s="191">
        <f t="shared" si="3"/>
        <v>0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95</v>
      </c>
      <c r="M4" s="191">
        <f t="shared" ref="M4:S4" si="4">SUMPRODUCT(M10:M90,MOD(ROW(M10:M90),2))</f>
        <v>5</v>
      </c>
      <c r="N4" s="191">
        <f t="shared" si="4"/>
        <v>4</v>
      </c>
      <c r="O4" s="191">
        <f t="shared" si="4"/>
        <v>2</v>
      </c>
      <c r="P4" s="191">
        <f t="shared" si="4"/>
        <v>0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Shenoy %</v>
      </c>
      <c r="D5" s="137">
        <f t="shared" ref="D5:D6" si="6">IFERROR((E3/(E3+D3)),0)</f>
        <v>0.1428571429</v>
      </c>
      <c r="K5" s="135"/>
      <c r="L5" s="136" t="str">
        <f t="shared" ref="L5:L6" si="7">IFERROR((L10 &amp;" %"), "")</f>
        <v> Truesdale %</v>
      </c>
      <c r="M5" s="137">
        <f t="shared" ref="M5:M6" si="8">IFERROR((N3/(N3+M3)),0)</f>
        <v>0.75</v>
      </c>
      <c r="S5" s="132"/>
      <c r="T5" s="132"/>
      <c r="U5" s="7"/>
    </row>
    <row r="6">
      <c r="A6" s="14"/>
      <c r="B6" s="138"/>
      <c r="C6" s="139" t="str">
        <f t="shared" si="5"/>
        <v> Wallwork %</v>
      </c>
      <c r="D6" s="140">
        <f t="shared" si="6"/>
        <v>0.1428571429</v>
      </c>
      <c r="E6" s="141"/>
      <c r="F6" s="141"/>
      <c r="G6" s="141"/>
      <c r="H6" s="141"/>
      <c r="I6" s="141"/>
      <c r="J6" s="141"/>
      <c r="K6" s="138"/>
      <c r="L6" s="139" t="str">
        <f t="shared" si="7"/>
        <v> Sarchio %</v>
      </c>
      <c r="M6" s="142">
        <f t="shared" si="8"/>
        <v>0.4444444444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Shenoy")</f>
        <v> Shenoy</v>
      </c>
      <c r="D10" s="180">
        <v>1.0</v>
      </c>
      <c r="E10" s="181"/>
      <c r="F10" s="136"/>
      <c r="G10" s="136"/>
      <c r="K10" s="129">
        <v>1.0</v>
      </c>
      <c r="L10" s="136" t="str">
        <f>IFERROR(__xludf.DUMMYFUNCTION("REGEXEXTRACT(L3, ""( .*)+"")")," Truesdale")</f>
        <v> Truesdale</v>
      </c>
      <c r="M10" s="180"/>
      <c r="N10" s="179">
        <v>1.0</v>
      </c>
      <c r="P10" s="186"/>
      <c r="T10" s="132"/>
      <c r="U10" s="7"/>
    </row>
    <row r="11">
      <c r="A11" s="8"/>
      <c r="B11" s="129">
        <v>1.0</v>
      </c>
      <c r="C11" s="136" t="str">
        <f>IFERROR(__xludf.DUMMYFUNCTION("REGEXEXTRACT(C4, ""( .*)+"")")," Wallwork")</f>
        <v> Wallwork</v>
      </c>
      <c r="D11" s="180">
        <v>1.0</v>
      </c>
      <c r="E11" s="179"/>
      <c r="K11" s="129">
        <v>1.0</v>
      </c>
      <c r="L11" s="136" t="str">
        <f>IFERROR(__xludf.DUMMYFUNCTION("REGEXEXTRACT(L4, ""( .*)+"")")," Sarchio")</f>
        <v> Sarchio</v>
      </c>
      <c r="M11" s="180"/>
      <c r="N11" s="179">
        <v>1.0</v>
      </c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Shenoy</v>
      </c>
      <c r="D12" s="180">
        <v>1.0</v>
      </c>
      <c r="E12" s="179"/>
      <c r="K12" s="129">
        <f t="shared" ref="K12:K69" si="11">K10+1</f>
        <v>2</v>
      </c>
      <c r="L12" s="156" t="str">
        <f t="shared" ref="L12:L89" si="12">L10</f>
        <v> Truesdale</v>
      </c>
      <c r="M12" s="180"/>
      <c r="N12" s="179">
        <v>1.0</v>
      </c>
      <c r="T12" s="132"/>
      <c r="U12" s="7"/>
    </row>
    <row r="13">
      <c r="A13" s="14"/>
      <c r="B13" s="135">
        <f t="shared" si="9"/>
        <v>2</v>
      </c>
      <c r="C13" s="156" t="str">
        <f t="shared" si="10"/>
        <v> Wallwork</v>
      </c>
      <c r="D13" s="180">
        <v>1.0</v>
      </c>
      <c r="E13" s="179"/>
      <c r="K13" s="135">
        <f t="shared" si="11"/>
        <v>2</v>
      </c>
      <c r="L13" s="156" t="str">
        <f t="shared" si="12"/>
        <v> Sarchio</v>
      </c>
      <c r="M13" s="180">
        <v>1.0</v>
      </c>
      <c r="N13" s="181"/>
      <c r="T13" s="132"/>
      <c r="U13" s="7"/>
    </row>
    <row r="14">
      <c r="A14" s="8"/>
      <c r="B14" s="129">
        <f t="shared" si="9"/>
        <v>3</v>
      </c>
      <c r="C14" s="156" t="str">
        <f t="shared" si="10"/>
        <v> Shenoy</v>
      </c>
      <c r="D14" s="180"/>
      <c r="E14" s="179">
        <v>1.0</v>
      </c>
      <c r="K14" s="129">
        <f t="shared" si="11"/>
        <v>3</v>
      </c>
      <c r="L14" s="156" t="str">
        <f t="shared" si="12"/>
        <v> Truesdale</v>
      </c>
      <c r="M14" s="180"/>
      <c r="N14" s="179">
        <v>1.0</v>
      </c>
      <c r="T14" s="132"/>
      <c r="U14" s="7"/>
    </row>
    <row r="15">
      <c r="A15" s="14"/>
      <c r="B15" s="135">
        <f t="shared" si="9"/>
        <v>3</v>
      </c>
      <c r="C15" s="156" t="str">
        <f t="shared" si="10"/>
        <v> Wallwork</v>
      </c>
      <c r="D15" s="180">
        <v>1.0</v>
      </c>
      <c r="E15" s="179"/>
      <c r="F15" s="136">
        <v>1.0</v>
      </c>
      <c r="K15" s="135">
        <f t="shared" si="11"/>
        <v>3</v>
      </c>
      <c r="L15" s="156" t="str">
        <f t="shared" si="12"/>
        <v> Sarchio</v>
      </c>
      <c r="M15" s="180"/>
      <c r="N15" s="179">
        <v>1.0</v>
      </c>
      <c r="T15" s="132"/>
      <c r="U15" s="7"/>
    </row>
    <row r="16">
      <c r="A16" s="8"/>
      <c r="B16" s="129">
        <f t="shared" si="9"/>
        <v>4</v>
      </c>
      <c r="C16" s="156" t="str">
        <f t="shared" si="10"/>
        <v> Shenoy</v>
      </c>
      <c r="D16" s="180">
        <v>1.0</v>
      </c>
      <c r="E16" s="181"/>
      <c r="K16" s="129">
        <f t="shared" si="11"/>
        <v>4</v>
      </c>
      <c r="L16" s="156" t="str">
        <f t="shared" si="12"/>
        <v> Truesdale</v>
      </c>
      <c r="M16" s="180">
        <v>1.0</v>
      </c>
      <c r="N16" s="181"/>
      <c r="T16" s="132"/>
      <c r="U16" s="7"/>
    </row>
    <row r="17">
      <c r="A17" s="14"/>
      <c r="B17" s="135">
        <f t="shared" si="9"/>
        <v>4</v>
      </c>
      <c r="C17" s="156" t="str">
        <f t="shared" si="10"/>
        <v> Wallwork</v>
      </c>
      <c r="D17" s="180">
        <v>1.0</v>
      </c>
      <c r="E17" s="179"/>
      <c r="K17" s="135">
        <f t="shared" si="11"/>
        <v>4</v>
      </c>
      <c r="L17" s="156" t="str">
        <f t="shared" si="12"/>
        <v> Sarchio</v>
      </c>
      <c r="M17" s="180">
        <v>1.0</v>
      </c>
      <c r="N17" s="179"/>
      <c r="O17" s="136">
        <v>1.0</v>
      </c>
      <c r="T17" s="132"/>
      <c r="U17" s="7"/>
    </row>
    <row r="18">
      <c r="A18" s="8"/>
      <c r="B18" s="129">
        <f t="shared" si="9"/>
        <v>5</v>
      </c>
      <c r="C18" s="156" t="str">
        <f t="shared" si="10"/>
        <v> Shenoy</v>
      </c>
      <c r="D18" s="180">
        <v>1.0</v>
      </c>
      <c r="E18" s="179"/>
      <c r="K18" s="129">
        <f t="shared" si="11"/>
        <v>5</v>
      </c>
      <c r="L18" s="156" t="str">
        <f t="shared" si="12"/>
        <v> Truesdale</v>
      </c>
      <c r="M18" s="180"/>
      <c r="N18" s="179">
        <v>1.0</v>
      </c>
      <c r="T18" s="132"/>
      <c r="U18" s="7"/>
    </row>
    <row r="19">
      <c r="A19" s="14"/>
      <c r="B19" s="135">
        <f t="shared" si="9"/>
        <v>5</v>
      </c>
      <c r="C19" s="156" t="str">
        <f t="shared" si="10"/>
        <v> Wallwork</v>
      </c>
      <c r="D19" s="180"/>
      <c r="E19" s="179">
        <v>1.0</v>
      </c>
      <c r="K19" s="135">
        <f t="shared" si="11"/>
        <v>5</v>
      </c>
      <c r="L19" s="156" t="str">
        <f t="shared" si="12"/>
        <v> Sarchio</v>
      </c>
      <c r="M19" s="180">
        <v>1.0</v>
      </c>
      <c r="N19" s="179"/>
      <c r="T19" s="132"/>
      <c r="U19" s="7"/>
    </row>
    <row r="20">
      <c r="A20" s="8"/>
      <c r="B20" s="129">
        <f t="shared" si="9"/>
        <v>6</v>
      </c>
      <c r="C20" s="156" t="str">
        <f t="shared" si="10"/>
        <v> Shenoy</v>
      </c>
      <c r="D20" s="180">
        <v>1.0</v>
      </c>
      <c r="E20" s="179"/>
      <c r="K20" s="129">
        <f t="shared" si="11"/>
        <v>6</v>
      </c>
      <c r="L20" s="156" t="str">
        <f t="shared" si="12"/>
        <v> Truesdale</v>
      </c>
      <c r="M20" s="180"/>
      <c r="N20" s="179">
        <v>1.0</v>
      </c>
      <c r="T20" s="132"/>
      <c r="U20" s="7"/>
    </row>
    <row r="21">
      <c r="A21" s="14"/>
      <c r="B21" s="135">
        <f t="shared" si="9"/>
        <v>6</v>
      </c>
      <c r="C21" s="156" t="str">
        <f t="shared" si="10"/>
        <v> Wallwork</v>
      </c>
      <c r="D21" s="180">
        <v>1.0</v>
      </c>
      <c r="E21" s="181"/>
      <c r="K21" s="135">
        <f t="shared" si="11"/>
        <v>6</v>
      </c>
      <c r="L21" s="156" t="str">
        <f t="shared" si="12"/>
        <v> Sarchio</v>
      </c>
      <c r="M21" s="180">
        <v>1.0</v>
      </c>
      <c r="N21" s="181"/>
      <c r="T21" s="132"/>
      <c r="U21" s="7"/>
    </row>
    <row r="22">
      <c r="A22" s="8"/>
      <c r="B22" s="129">
        <f t="shared" si="9"/>
        <v>7</v>
      </c>
      <c r="C22" s="156" t="str">
        <f t="shared" si="10"/>
        <v> Shenoy</v>
      </c>
      <c r="D22" s="180">
        <v>1.0</v>
      </c>
      <c r="E22" s="181"/>
      <c r="K22" s="129">
        <f t="shared" si="11"/>
        <v>7</v>
      </c>
      <c r="L22" s="156" t="str">
        <f t="shared" si="12"/>
        <v> Truesdale</v>
      </c>
      <c r="M22" s="180"/>
      <c r="N22" s="179">
        <v>1.0</v>
      </c>
      <c r="T22" s="132"/>
      <c r="U22" s="7"/>
    </row>
    <row r="23">
      <c r="A23" s="14"/>
      <c r="B23" s="135">
        <f t="shared" si="9"/>
        <v>7</v>
      </c>
      <c r="C23" s="156" t="str">
        <f t="shared" si="10"/>
        <v> Wallwork</v>
      </c>
      <c r="D23" s="180">
        <v>1.0</v>
      </c>
      <c r="E23" s="181"/>
      <c r="K23" s="135">
        <f t="shared" si="11"/>
        <v>7</v>
      </c>
      <c r="L23" s="156" t="str">
        <f t="shared" si="12"/>
        <v> Sarchio</v>
      </c>
      <c r="M23" s="180"/>
      <c r="N23" s="179">
        <v>1.0</v>
      </c>
      <c r="T23" s="132"/>
      <c r="U23" s="7"/>
    </row>
    <row r="24">
      <c r="A24" s="8"/>
      <c r="B24" s="129">
        <f t="shared" si="9"/>
        <v>8</v>
      </c>
      <c r="C24" s="156" t="str">
        <f t="shared" si="10"/>
        <v> Shenoy</v>
      </c>
      <c r="D24" s="180"/>
      <c r="E24" s="181"/>
      <c r="K24" s="129">
        <f t="shared" si="11"/>
        <v>8</v>
      </c>
      <c r="L24" s="156" t="str">
        <f t="shared" si="12"/>
        <v> Truesdale</v>
      </c>
      <c r="M24" s="180">
        <v>1.0</v>
      </c>
      <c r="N24" s="181"/>
      <c r="T24" s="132"/>
      <c r="U24" s="7"/>
    </row>
    <row r="25">
      <c r="A25" s="14"/>
      <c r="B25" s="135">
        <f t="shared" si="9"/>
        <v>8</v>
      </c>
      <c r="C25" s="156" t="str">
        <f t="shared" si="10"/>
        <v> Wallwork</v>
      </c>
      <c r="D25" s="180"/>
      <c r="E25" s="181"/>
      <c r="K25" s="135">
        <f t="shared" si="11"/>
        <v>8</v>
      </c>
      <c r="L25" s="156" t="str">
        <f t="shared" si="12"/>
        <v> Sarchio</v>
      </c>
      <c r="M25" s="180">
        <v>1.0</v>
      </c>
      <c r="N25" s="179"/>
      <c r="O25" s="136">
        <v>1.0</v>
      </c>
      <c r="T25" s="132"/>
      <c r="U25" s="7"/>
    </row>
    <row r="26">
      <c r="A26" s="8"/>
      <c r="B26" s="129">
        <f t="shared" si="9"/>
        <v>9</v>
      </c>
      <c r="C26" s="156" t="str">
        <f t="shared" si="10"/>
        <v> Shenoy</v>
      </c>
      <c r="D26" s="180"/>
      <c r="E26" s="181"/>
      <c r="K26" s="129">
        <f t="shared" si="11"/>
        <v>9</v>
      </c>
      <c r="L26" s="156" t="str">
        <f t="shared" si="12"/>
        <v> Truesdale</v>
      </c>
      <c r="M26" s="180"/>
      <c r="N26" s="181"/>
      <c r="T26" s="132"/>
      <c r="U26" s="7"/>
    </row>
    <row r="27">
      <c r="A27" s="14"/>
      <c r="B27" s="135">
        <f t="shared" si="9"/>
        <v>9</v>
      </c>
      <c r="C27" s="156" t="str">
        <f t="shared" si="10"/>
        <v> Wallwork</v>
      </c>
      <c r="D27" s="180"/>
      <c r="E27" s="181"/>
      <c r="K27" s="135">
        <f t="shared" si="11"/>
        <v>9</v>
      </c>
      <c r="L27" s="156" t="str">
        <f t="shared" si="12"/>
        <v> Sarchio</v>
      </c>
      <c r="M27" s="180"/>
      <c r="N27" s="179">
        <v>1.0</v>
      </c>
      <c r="T27" s="132"/>
      <c r="U27" s="7"/>
    </row>
    <row r="28">
      <c r="A28" s="8"/>
      <c r="B28" s="129">
        <f t="shared" si="9"/>
        <v>10</v>
      </c>
      <c r="C28" s="156" t="str">
        <f t="shared" si="10"/>
        <v> Shenoy</v>
      </c>
      <c r="D28" s="180"/>
      <c r="E28" s="181"/>
      <c r="K28" s="129">
        <f t="shared" si="11"/>
        <v>10</v>
      </c>
      <c r="L28" s="156" t="str">
        <f t="shared" si="12"/>
        <v> Truesdale</v>
      </c>
      <c r="M28" s="180"/>
      <c r="N28" s="181"/>
      <c r="T28" s="132"/>
      <c r="U28" s="7"/>
    </row>
    <row r="29">
      <c r="A29" s="14"/>
      <c r="B29" s="135">
        <f t="shared" si="9"/>
        <v>10</v>
      </c>
      <c r="C29" s="156" t="str">
        <f t="shared" si="10"/>
        <v> Wallwork</v>
      </c>
      <c r="D29" s="180"/>
      <c r="E29" s="181"/>
      <c r="K29" s="135">
        <f t="shared" si="11"/>
        <v>10</v>
      </c>
      <c r="L29" s="156" t="str">
        <f t="shared" si="12"/>
        <v> Sarchio</v>
      </c>
      <c r="M29" s="180"/>
      <c r="N29" s="181"/>
      <c r="T29" s="132"/>
      <c r="U29" s="7"/>
    </row>
    <row r="30">
      <c r="A30" s="8"/>
      <c r="B30" s="129">
        <f t="shared" si="9"/>
        <v>11</v>
      </c>
      <c r="C30" s="156" t="str">
        <f t="shared" si="10"/>
        <v> Shenoy</v>
      </c>
      <c r="D30" s="180"/>
      <c r="E30" s="181"/>
      <c r="K30" s="129">
        <f t="shared" si="11"/>
        <v>11</v>
      </c>
      <c r="L30" s="156" t="str">
        <f t="shared" si="12"/>
        <v> Truesdale</v>
      </c>
      <c r="M30" s="180"/>
      <c r="N30" s="181"/>
      <c r="T30" s="132"/>
      <c r="U30" s="7"/>
    </row>
    <row r="31">
      <c r="A31" s="14"/>
      <c r="B31" s="135">
        <f t="shared" si="9"/>
        <v>11</v>
      </c>
      <c r="C31" s="156" t="str">
        <f t="shared" si="10"/>
        <v> Wallwork</v>
      </c>
      <c r="D31" s="180"/>
      <c r="E31" s="181"/>
      <c r="K31" s="135">
        <f t="shared" si="11"/>
        <v>11</v>
      </c>
      <c r="L31" s="156" t="str">
        <f t="shared" si="12"/>
        <v> Sarchio</v>
      </c>
      <c r="M31" s="178"/>
      <c r="N31" s="179"/>
      <c r="T31" s="132"/>
      <c r="U31" s="7"/>
    </row>
    <row r="32">
      <c r="A32" s="8"/>
      <c r="B32" s="129">
        <f t="shared" si="9"/>
        <v>12</v>
      </c>
      <c r="C32" s="156" t="str">
        <f t="shared" si="10"/>
        <v> Shenoy</v>
      </c>
      <c r="D32" s="180"/>
      <c r="E32" s="181"/>
      <c r="K32" s="129">
        <f t="shared" si="11"/>
        <v>12</v>
      </c>
      <c r="L32" s="156" t="str">
        <f t="shared" si="12"/>
        <v> Truesdale</v>
      </c>
      <c r="M32" s="180"/>
      <c r="N32" s="181"/>
      <c r="T32" s="132"/>
      <c r="U32" s="7"/>
    </row>
    <row r="33">
      <c r="A33" s="14"/>
      <c r="B33" s="135">
        <f t="shared" si="9"/>
        <v>12</v>
      </c>
      <c r="C33" s="156" t="str">
        <f t="shared" si="10"/>
        <v> Wallwork</v>
      </c>
      <c r="D33" s="180"/>
      <c r="E33" s="181"/>
      <c r="K33" s="135">
        <f t="shared" si="11"/>
        <v>12</v>
      </c>
      <c r="L33" s="156" t="str">
        <f t="shared" si="12"/>
        <v> Sarchio</v>
      </c>
      <c r="M33" s="178"/>
      <c r="N33" s="179"/>
      <c r="T33" s="132"/>
      <c r="U33" s="7"/>
    </row>
    <row r="34">
      <c r="A34" s="8"/>
      <c r="B34" s="129">
        <f t="shared" si="9"/>
        <v>13</v>
      </c>
      <c r="C34" s="156" t="str">
        <f t="shared" si="10"/>
        <v> Shenoy</v>
      </c>
      <c r="D34" s="180"/>
      <c r="E34" s="181"/>
      <c r="K34" s="129">
        <f t="shared" si="11"/>
        <v>13</v>
      </c>
      <c r="L34" s="156" t="str">
        <f t="shared" si="12"/>
        <v> Truesdale</v>
      </c>
      <c r="M34" s="180"/>
      <c r="N34" s="181"/>
      <c r="T34" s="132"/>
      <c r="U34" s="7"/>
    </row>
    <row r="35">
      <c r="A35" s="14"/>
      <c r="B35" s="135">
        <f t="shared" si="9"/>
        <v>13</v>
      </c>
      <c r="C35" s="156" t="str">
        <f t="shared" si="10"/>
        <v> Wallwork</v>
      </c>
      <c r="D35" s="180"/>
      <c r="E35" s="181"/>
      <c r="K35" s="135">
        <f t="shared" si="11"/>
        <v>13</v>
      </c>
      <c r="L35" s="156" t="str">
        <f t="shared" si="12"/>
        <v> Sarchio</v>
      </c>
      <c r="M35" s="180"/>
      <c r="N35" s="181"/>
      <c r="T35" s="132"/>
      <c r="U35" s="7"/>
    </row>
    <row r="36">
      <c r="A36" s="8"/>
      <c r="B36" s="129">
        <f t="shared" si="9"/>
        <v>14</v>
      </c>
      <c r="C36" s="156" t="str">
        <f t="shared" si="10"/>
        <v> Shenoy</v>
      </c>
      <c r="D36" s="180"/>
      <c r="E36" s="181"/>
      <c r="K36" s="129">
        <f t="shared" si="11"/>
        <v>14</v>
      </c>
      <c r="L36" s="156" t="str">
        <f t="shared" si="12"/>
        <v> Truesdale</v>
      </c>
      <c r="M36" s="180"/>
      <c r="N36" s="181"/>
      <c r="T36" s="132"/>
      <c r="U36" s="7"/>
    </row>
    <row r="37">
      <c r="A37" s="14"/>
      <c r="B37" s="135">
        <f t="shared" si="9"/>
        <v>14</v>
      </c>
      <c r="C37" s="156" t="str">
        <f t="shared" si="10"/>
        <v> Wallwork</v>
      </c>
      <c r="D37" s="180"/>
      <c r="E37" s="181"/>
      <c r="K37" s="135">
        <f t="shared" si="11"/>
        <v>14</v>
      </c>
      <c r="L37" s="156" t="str">
        <f t="shared" si="12"/>
        <v> Sarchio</v>
      </c>
      <c r="M37" s="180"/>
      <c r="N37" s="181"/>
      <c r="T37" s="132"/>
      <c r="U37" s="7"/>
    </row>
    <row r="38">
      <c r="A38" s="8"/>
      <c r="B38" s="129">
        <f t="shared" si="9"/>
        <v>15</v>
      </c>
      <c r="C38" s="156" t="str">
        <f t="shared" si="10"/>
        <v> Shenoy</v>
      </c>
      <c r="D38" s="180"/>
      <c r="E38" s="181"/>
      <c r="K38" s="129">
        <f t="shared" si="11"/>
        <v>15</v>
      </c>
      <c r="L38" s="156" t="str">
        <f t="shared" si="12"/>
        <v> Truesdale</v>
      </c>
      <c r="M38" s="180"/>
      <c r="N38" s="181"/>
      <c r="T38" s="132"/>
      <c r="U38" s="7"/>
    </row>
    <row r="39">
      <c r="A39" s="14"/>
      <c r="B39" s="135">
        <f t="shared" si="9"/>
        <v>15</v>
      </c>
      <c r="C39" s="156" t="str">
        <f t="shared" si="10"/>
        <v> Wallwork</v>
      </c>
      <c r="D39" s="180"/>
      <c r="E39" s="181"/>
      <c r="K39" s="135">
        <f t="shared" si="11"/>
        <v>15</v>
      </c>
      <c r="L39" s="156" t="str">
        <f t="shared" si="12"/>
        <v> Sarchio</v>
      </c>
      <c r="M39" s="180"/>
      <c r="N39" s="181"/>
      <c r="T39" s="132"/>
      <c r="U39" s="7"/>
    </row>
    <row r="40">
      <c r="A40" s="8"/>
      <c r="B40" s="129">
        <f t="shared" si="9"/>
        <v>16</v>
      </c>
      <c r="C40" s="156" t="str">
        <f t="shared" si="10"/>
        <v> Shenoy</v>
      </c>
      <c r="D40" s="180"/>
      <c r="E40" s="179"/>
      <c r="K40" s="129">
        <f t="shared" si="11"/>
        <v>16</v>
      </c>
      <c r="L40" s="156" t="str">
        <f t="shared" si="12"/>
        <v> Truesdale</v>
      </c>
      <c r="M40" s="180"/>
      <c r="N40" s="181"/>
      <c r="T40" s="132"/>
      <c r="U40" s="7"/>
    </row>
    <row r="41">
      <c r="A41" s="14"/>
      <c r="B41" s="135">
        <f t="shared" si="9"/>
        <v>16</v>
      </c>
      <c r="C41" s="156" t="str">
        <f t="shared" si="10"/>
        <v> Wallwork</v>
      </c>
      <c r="D41" s="180"/>
      <c r="E41" s="181"/>
      <c r="K41" s="135">
        <f t="shared" si="11"/>
        <v>16</v>
      </c>
      <c r="L41" s="156" t="str">
        <f t="shared" si="12"/>
        <v> Sarchio</v>
      </c>
      <c r="M41" s="178"/>
      <c r="N41" s="179"/>
      <c r="T41" s="132"/>
      <c r="U41" s="7"/>
    </row>
    <row r="42">
      <c r="A42" s="8"/>
      <c r="B42" s="129">
        <f t="shared" si="9"/>
        <v>17</v>
      </c>
      <c r="C42" s="156" t="str">
        <f t="shared" si="10"/>
        <v> Shenoy</v>
      </c>
      <c r="D42" s="180"/>
      <c r="E42" s="181"/>
      <c r="K42" s="129">
        <f t="shared" si="11"/>
        <v>17</v>
      </c>
      <c r="L42" s="156" t="str">
        <f t="shared" si="12"/>
        <v> Truesdale</v>
      </c>
      <c r="M42" s="180"/>
      <c r="N42" s="181"/>
      <c r="T42" s="132"/>
      <c r="U42" s="7"/>
    </row>
    <row r="43">
      <c r="A43" s="14"/>
      <c r="B43" s="135">
        <f t="shared" si="9"/>
        <v>17</v>
      </c>
      <c r="C43" s="156" t="str">
        <f t="shared" si="10"/>
        <v> Wallwork</v>
      </c>
      <c r="D43" s="178"/>
      <c r="E43" s="179"/>
      <c r="K43" s="135">
        <f t="shared" si="11"/>
        <v>17</v>
      </c>
      <c r="L43" s="156" t="str">
        <f t="shared" si="12"/>
        <v> Sarchio</v>
      </c>
      <c r="M43" s="180"/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Shenoy</v>
      </c>
      <c r="D44" s="180"/>
      <c r="E44" s="181"/>
      <c r="K44" s="129">
        <f t="shared" si="11"/>
        <v>18</v>
      </c>
      <c r="L44" s="156" t="str">
        <f t="shared" si="12"/>
        <v> Truesdale</v>
      </c>
      <c r="M44" s="180"/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Wallwork</v>
      </c>
      <c r="D45" s="180"/>
      <c r="E45" s="181"/>
      <c r="K45" s="129">
        <f t="shared" si="11"/>
        <v>18</v>
      </c>
      <c r="L45" s="156" t="str">
        <f t="shared" si="12"/>
        <v> Sarchio</v>
      </c>
      <c r="M45" s="180"/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Shenoy</v>
      </c>
      <c r="D46" s="180"/>
      <c r="E46" s="181"/>
      <c r="K46" s="135">
        <f t="shared" si="11"/>
        <v>19</v>
      </c>
      <c r="L46" s="156" t="str">
        <f t="shared" si="12"/>
        <v> Truesdale</v>
      </c>
      <c r="M46" s="180"/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Wallwork</v>
      </c>
      <c r="D47" s="180"/>
      <c r="E47" s="181"/>
      <c r="K47" s="129">
        <f t="shared" si="11"/>
        <v>19</v>
      </c>
      <c r="L47" s="156" t="str">
        <f t="shared" si="12"/>
        <v> Sarchio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Shenoy</v>
      </c>
      <c r="D48" s="180"/>
      <c r="E48" s="181"/>
      <c r="K48" s="135">
        <f t="shared" si="11"/>
        <v>20</v>
      </c>
      <c r="L48" s="156" t="str">
        <f t="shared" si="12"/>
        <v> Truesdale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Wallwork</v>
      </c>
      <c r="D49" s="178"/>
      <c r="E49" s="179"/>
      <c r="K49" s="129">
        <f t="shared" si="11"/>
        <v>20</v>
      </c>
      <c r="L49" s="156" t="str">
        <f t="shared" si="12"/>
        <v> Sarchio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Shenoy</v>
      </c>
      <c r="D50" s="180"/>
      <c r="E50" s="181"/>
      <c r="K50" s="129">
        <f t="shared" si="11"/>
        <v>21</v>
      </c>
      <c r="L50" s="156" t="str">
        <f t="shared" si="12"/>
        <v> Truesdale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Wallwork</v>
      </c>
      <c r="D51" s="180"/>
      <c r="E51" s="181"/>
      <c r="K51" s="135">
        <f t="shared" si="11"/>
        <v>21</v>
      </c>
      <c r="L51" s="156" t="str">
        <f t="shared" si="12"/>
        <v> Sarchio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Shenoy</v>
      </c>
      <c r="D52" s="178"/>
      <c r="E52" s="181"/>
      <c r="K52" s="129">
        <f t="shared" si="11"/>
        <v>22</v>
      </c>
      <c r="L52" s="156" t="str">
        <f t="shared" si="12"/>
        <v> Truesdale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Wallwork</v>
      </c>
      <c r="D53" s="178"/>
      <c r="E53" s="181"/>
      <c r="K53" s="135">
        <f t="shared" si="11"/>
        <v>22</v>
      </c>
      <c r="L53" s="156" t="str">
        <f t="shared" si="12"/>
        <v> Sarchio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Shenoy</v>
      </c>
      <c r="D54" s="178"/>
      <c r="E54" s="181"/>
      <c r="K54" s="129">
        <f t="shared" si="11"/>
        <v>23</v>
      </c>
      <c r="L54" s="156" t="str">
        <f t="shared" si="12"/>
        <v> Truesdale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Wallwork</v>
      </c>
      <c r="D55" s="178"/>
      <c r="E55" s="181"/>
      <c r="K55" s="135">
        <f t="shared" si="11"/>
        <v>23</v>
      </c>
      <c r="L55" s="156" t="str">
        <f t="shared" si="12"/>
        <v> Sarchio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Shenoy</v>
      </c>
      <c r="D56" s="178"/>
      <c r="E56" s="181"/>
      <c r="K56" s="129">
        <f t="shared" si="11"/>
        <v>24</v>
      </c>
      <c r="L56" s="156" t="str">
        <f t="shared" si="12"/>
        <v> Truesdale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Wallwork</v>
      </c>
      <c r="D57" s="178"/>
      <c r="E57" s="181"/>
      <c r="K57" s="129">
        <f t="shared" si="11"/>
        <v>24</v>
      </c>
      <c r="L57" s="156" t="str">
        <f t="shared" si="12"/>
        <v> Sarchio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Shenoy</v>
      </c>
      <c r="D58" s="178"/>
      <c r="E58" s="181"/>
      <c r="K58" s="135">
        <f t="shared" si="11"/>
        <v>25</v>
      </c>
      <c r="L58" s="156" t="str">
        <f t="shared" si="12"/>
        <v> Truesdale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Wallwork</v>
      </c>
      <c r="D59" s="178"/>
      <c r="E59" s="181"/>
      <c r="K59" s="129">
        <f t="shared" si="11"/>
        <v>25</v>
      </c>
      <c r="L59" s="156" t="str">
        <f t="shared" si="12"/>
        <v> Sarchio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Shenoy</v>
      </c>
      <c r="D60" s="178"/>
      <c r="E60" s="181"/>
      <c r="K60" s="135">
        <f t="shared" si="11"/>
        <v>26</v>
      </c>
      <c r="L60" s="156" t="str">
        <f t="shared" si="12"/>
        <v> Truesdale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Wallwork</v>
      </c>
      <c r="D61" s="178"/>
      <c r="E61" s="181"/>
      <c r="K61" s="129">
        <f t="shared" si="11"/>
        <v>26</v>
      </c>
      <c r="L61" s="156" t="str">
        <f t="shared" si="12"/>
        <v> Sarchio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Shenoy</v>
      </c>
      <c r="D62" s="178"/>
      <c r="E62" s="181"/>
      <c r="K62" s="135">
        <f t="shared" si="11"/>
        <v>27</v>
      </c>
      <c r="L62" s="156" t="str">
        <f t="shared" si="12"/>
        <v> Truesdale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Wallwork</v>
      </c>
      <c r="D63" s="178"/>
      <c r="E63" s="181"/>
      <c r="K63" s="129">
        <f t="shared" si="11"/>
        <v>27</v>
      </c>
      <c r="L63" s="156" t="str">
        <f t="shared" si="12"/>
        <v> Sarchio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Shenoy</v>
      </c>
      <c r="D64" s="178"/>
      <c r="E64" s="181"/>
      <c r="K64" s="135">
        <f t="shared" si="11"/>
        <v>28</v>
      </c>
      <c r="L64" s="156" t="str">
        <f t="shared" si="12"/>
        <v> Truesdale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Wallwork</v>
      </c>
      <c r="D65" s="178"/>
      <c r="E65" s="181"/>
      <c r="K65" s="129">
        <f t="shared" si="11"/>
        <v>28</v>
      </c>
      <c r="L65" s="156" t="str">
        <f t="shared" si="12"/>
        <v> Sarchio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Shenoy</v>
      </c>
      <c r="D66" s="178"/>
      <c r="E66" s="181"/>
      <c r="K66" s="135">
        <f t="shared" si="11"/>
        <v>29</v>
      </c>
      <c r="L66" s="156" t="str">
        <f t="shared" si="12"/>
        <v> Truesdale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Wallwork</v>
      </c>
      <c r="D67" s="178"/>
      <c r="E67" s="181"/>
      <c r="K67" s="135">
        <f t="shared" si="11"/>
        <v>29</v>
      </c>
      <c r="L67" s="156" t="str">
        <f t="shared" si="12"/>
        <v> Sarchio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Shenoy</v>
      </c>
      <c r="D68" s="178"/>
      <c r="E68" s="181"/>
      <c r="K68" s="135">
        <f t="shared" si="11"/>
        <v>30</v>
      </c>
      <c r="L68" s="156" t="str">
        <f t="shared" si="12"/>
        <v> Truesdale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Wallwork</v>
      </c>
      <c r="D69" s="178"/>
      <c r="E69" s="181"/>
      <c r="K69" s="135">
        <f t="shared" si="11"/>
        <v>30</v>
      </c>
      <c r="L69" s="156" t="str">
        <f t="shared" si="12"/>
        <v> Sarchio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Shenoy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Truesdale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Wallwork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Sarchio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Shenoy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Truesdale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Wallwork</v>
      </c>
      <c r="D73" s="178"/>
      <c r="E73" s="181"/>
      <c r="K73" s="129">
        <v>32.0</v>
      </c>
      <c r="L73" s="156" t="str">
        <f t="shared" si="12"/>
        <v> Sarchio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Shenoy</v>
      </c>
      <c r="D74" s="192"/>
      <c r="E74" s="181"/>
      <c r="K74" s="129">
        <v>33.0</v>
      </c>
      <c r="L74" s="156" t="str">
        <f t="shared" si="12"/>
        <v> Truesdale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Wallwork</v>
      </c>
      <c r="D75" s="178"/>
      <c r="E75" s="181"/>
      <c r="K75" s="129">
        <v>33.0</v>
      </c>
      <c r="L75" s="156" t="str">
        <f t="shared" si="12"/>
        <v> Sarchio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Shenoy</v>
      </c>
      <c r="D76" s="178"/>
      <c r="E76" s="181"/>
      <c r="K76" s="129">
        <v>34.0</v>
      </c>
      <c r="L76" s="156" t="str">
        <f t="shared" si="12"/>
        <v> Truesdale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Wallwork</v>
      </c>
      <c r="D77" s="178"/>
      <c r="E77" s="181"/>
      <c r="K77" s="129">
        <v>34.0</v>
      </c>
      <c r="L77" s="156" t="str">
        <f t="shared" si="12"/>
        <v> Sarchio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Shenoy</v>
      </c>
      <c r="D78" s="178"/>
      <c r="E78" s="181"/>
      <c r="K78" s="129">
        <v>35.0</v>
      </c>
      <c r="L78" s="156" t="str">
        <f t="shared" si="12"/>
        <v> Truesdale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Wallwork</v>
      </c>
      <c r="D79" s="178"/>
      <c r="E79" s="181"/>
      <c r="K79" s="129">
        <v>35.0</v>
      </c>
      <c r="L79" s="156" t="str">
        <f t="shared" si="12"/>
        <v> Sarchio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Shenoy</v>
      </c>
      <c r="D80" s="178"/>
      <c r="E80" s="181"/>
      <c r="K80" s="129">
        <v>36.0</v>
      </c>
      <c r="L80" s="156" t="str">
        <f t="shared" si="12"/>
        <v> Truesdale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Wallwork</v>
      </c>
      <c r="D81" s="178"/>
      <c r="E81" s="181"/>
      <c r="K81" s="129">
        <v>36.0</v>
      </c>
      <c r="L81" s="156" t="str">
        <f t="shared" si="12"/>
        <v> Sarchio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Shenoy</v>
      </c>
      <c r="D82" s="178"/>
      <c r="E82" s="181"/>
      <c r="K82" s="129">
        <v>37.0</v>
      </c>
      <c r="L82" s="156" t="str">
        <f t="shared" si="12"/>
        <v> Truesdale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Wallwork</v>
      </c>
      <c r="D83" s="178"/>
      <c r="E83" s="181"/>
      <c r="K83" s="129">
        <v>37.0</v>
      </c>
      <c r="L83" s="156" t="str">
        <f t="shared" si="12"/>
        <v> Sarchio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Shenoy</v>
      </c>
      <c r="D84" s="178"/>
      <c r="E84" s="181"/>
      <c r="K84" s="129">
        <v>38.0</v>
      </c>
      <c r="L84" s="156" t="str">
        <f t="shared" si="12"/>
        <v> Truesdale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Wallwork</v>
      </c>
      <c r="D85" s="178"/>
      <c r="E85" s="181"/>
      <c r="K85" s="129">
        <v>38.0</v>
      </c>
      <c r="L85" s="156" t="str">
        <f t="shared" si="12"/>
        <v> Sarchio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Shenoy</v>
      </c>
      <c r="D86" s="178"/>
      <c r="E86" s="181"/>
      <c r="K86" s="129">
        <v>39.0</v>
      </c>
      <c r="L86" s="156" t="str">
        <f t="shared" si="12"/>
        <v> Truesdale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Wallwork</v>
      </c>
      <c r="D87" s="178"/>
      <c r="E87" s="181"/>
      <c r="K87" s="129">
        <v>39.0</v>
      </c>
      <c r="L87" s="156" t="str">
        <f t="shared" si="12"/>
        <v> Sarchio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Shenoy</v>
      </c>
      <c r="D88" s="178"/>
      <c r="E88" s="181"/>
      <c r="K88" s="129">
        <v>40.0</v>
      </c>
      <c r="L88" s="156" t="str">
        <f t="shared" si="12"/>
        <v> Truesdale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Wallwork</v>
      </c>
      <c r="D89" s="178"/>
      <c r="E89" s="181"/>
      <c r="K89" s="129">
        <v>40.0</v>
      </c>
      <c r="L89" s="156" t="str">
        <f t="shared" si="12"/>
        <v> Sarchio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0.13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124</v>
      </c>
      <c r="D3" s="189">
        <f t="shared" ref="D3:J3" si="1">SUMPRODUCT(D10:D90,MOD(ROW(D10:D90),2)=0)</f>
        <v>16</v>
      </c>
      <c r="E3" s="189">
        <f t="shared" si="1"/>
        <v>5</v>
      </c>
      <c r="F3" s="189">
        <f t="shared" si="1"/>
        <v>0</v>
      </c>
      <c r="G3" s="189">
        <f t="shared" si="1"/>
        <v>0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123</v>
      </c>
      <c r="M3" s="189">
        <f t="shared" ref="M3:S3" si="2">SUMPRODUCT(M10:M90,MOD(ROW(M10:M90),2)=0)</f>
        <v>18</v>
      </c>
      <c r="N3" s="189">
        <f t="shared" si="2"/>
        <v>4</v>
      </c>
      <c r="O3" s="189">
        <f t="shared" si="2"/>
        <v>0</v>
      </c>
      <c r="P3" s="189">
        <f t="shared" si="2"/>
        <v>1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92</v>
      </c>
      <c r="D4" s="191">
        <f t="shared" ref="D4:J4" si="3">SUMPRODUCT(D10:D90,MOD(ROW(D10:D90),2))</f>
        <v>15</v>
      </c>
      <c r="E4" s="191">
        <f t="shared" si="3"/>
        <v>5</v>
      </c>
      <c r="F4" s="191">
        <f t="shared" si="3"/>
        <v>0</v>
      </c>
      <c r="G4" s="191">
        <f t="shared" si="3"/>
        <v>1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111</v>
      </c>
      <c r="M4" s="191">
        <f t="shared" ref="M4:S4" si="4">SUMPRODUCT(M10:M90,MOD(ROW(M10:M90),2))</f>
        <v>17</v>
      </c>
      <c r="N4" s="191">
        <f t="shared" si="4"/>
        <v>5</v>
      </c>
      <c r="O4" s="191">
        <f t="shared" si="4"/>
        <v>0</v>
      </c>
      <c r="P4" s="191">
        <f t="shared" si="4"/>
        <v>0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Henry %</v>
      </c>
      <c r="D5" s="137">
        <f t="shared" ref="D5:D6" si="6">IFERROR((E3/(E3+D3)),0)</f>
        <v>0.2380952381</v>
      </c>
      <c r="K5" s="135"/>
      <c r="L5" s="136" t="str">
        <f t="shared" ref="L5:L6" si="7">IFERROR((L10 &amp;" %"), "")</f>
        <v>Giacomo %</v>
      </c>
      <c r="M5" s="137">
        <f t="shared" ref="M5:M6" si="8">IFERROR((N3/(N3+M3)),0)</f>
        <v>0.1818181818</v>
      </c>
      <c r="S5" s="132"/>
      <c r="T5" s="132"/>
      <c r="U5" s="7"/>
    </row>
    <row r="6">
      <c r="A6" s="14"/>
      <c r="B6" s="138"/>
      <c r="C6" s="139" t="str">
        <f t="shared" si="5"/>
        <v>Toban %</v>
      </c>
      <c r="D6" s="140">
        <f t="shared" si="6"/>
        <v>0.25</v>
      </c>
      <c r="E6" s="141"/>
      <c r="F6" s="141"/>
      <c r="G6" s="141"/>
      <c r="H6" s="141"/>
      <c r="I6" s="141"/>
      <c r="J6" s="141"/>
      <c r="K6" s="138"/>
      <c r="L6" s="139" t="str">
        <f t="shared" si="7"/>
        <v>Sammy %</v>
      </c>
      <c r="M6" s="142">
        <f t="shared" si="8"/>
        <v>0.2272727273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">
        <v>197</v>
      </c>
      <c r="D10" s="180"/>
      <c r="E10" s="179">
        <v>1.0</v>
      </c>
      <c r="F10" s="136"/>
      <c r="G10" s="136"/>
      <c r="K10" s="129">
        <v>1.0</v>
      </c>
      <c r="L10" s="136" t="s">
        <v>198</v>
      </c>
      <c r="M10" s="180">
        <v>1.0</v>
      </c>
      <c r="N10" s="179"/>
      <c r="P10" s="186"/>
      <c r="T10" s="132"/>
      <c r="U10" s="7"/>
    </row>
    <row r="11">
      <c r="A11" s="8"/>
      <c r="B11" s="129">
        <v>1.0</v>
      </c>
      <c r="C11" s="136" t="s">
        <v>199</v>
      </c>
      <c r="D11" s="180">
        <v>1.0</v>
      </c>
      <c r="E11" s="179"/>
      <c r="K11" s="129">
        <v>1.0</v>
      </c>
      <c r="L11" s="136" t="s">
        <v>200</v>
      </c>
      <c r="M11" s="180"/>
      <c r="N11" s="179">
        <v>1.0</v>
      </c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Henry</v>
      </c>
      <c r="D12" s="180">
        <v>1.0</v>
      </c>
      <c r="E12" s="179"/>
      <c r="K12" s="129">
        <f t="shared" ref="K12:K69" si="11">K10+1</f>
        <v>2</v>
      </c>
      <c r="L12" s="156" t="str">
        <f t="shared" ref="L12:L89" si="12">L10</f>
        <v>Giacomo</v>
      </c>
      <c r="M12" s="180"/>
      <c r="N12" s="179">
        <v>1.0</v>
      </c>
      <c r="T12" s="132"/>
      <c r="U12" s="7"/>
    </row>
    <row r="13">
      <c r="A13" s="14"/>
      <c r="B13" s="135">
        <f t="shared" si="9"/>
        <v>2</v>
      </c>
      <c r="C13" s="156" t="str">
        <f t="shared" si="10"/>
        <v>Toban</v>
      </c>
      <c r="D13" s="180">
        <v>1.0</v>
      </c>
      <c r="E13" s="179"/>
      <c r="K13" s="135">
        <f t="shared" si="11"/>
        <v>2</v>
      </c>
      <c r="L13" s="156" t="str">
        <f t="shared" si="12"/>
        <v>Sammy</v>
      </c>
      <c r="M13" s="180">
        <v>1.0</v>
      </c>
      <c r="N13" s="181"/>
      <c r="T13" s="132"/>
      <c r="U13" s="7"/>
    </row>
    <row r="14">
      <c r="A14" s="8"/>
      <c r="B14" s="129">
        <f t="shared" si="9"/>
        <v>3</v>
      </c>
      <c r="C14" s="156" t="str">
        <f t="shared" si="10"/>
        <v>Henry</v>
      </c>
      <c r="D14" s="180">
        <v>1.0</v>
      </c>
      <c r="E14" s="179"/>
      <c r="K14" s="129">
        <f t="shared" si="11"/>
        <v>3</v>
      </c>
      <c r="L14" s="156" t="str">
        <f t="shared" si="12"/>
        <v>Giacomo</v>
      </c>
      <c r="M14" s="180">
        <v>1.0</v>
      </c>
      <c r="N14" s="181"/>
      <c r="T14" s="132"/>
      <c r="U14" s="7"/>
    </row>
    <row r="15">
      <c r="A15" s="14"/>
      <c r="B15" s="135">
        <f t="shared" si="9"/>
        <v>3</v>
      </c>
      <c r="C15" s="156" t="str">
        <f t="shared" si="10"/>
        <v>Toban</v>
      </c>
      <c r="D15" s="180"/>
      <c r="E15" s="179">
        <v>1.0</v>
      </c>
      <c r="K15" s="135">
        <f t="shared" si="11"/>
        <v>3</v>
      </c>
      <c r="L15" s="156" t="str">
        <f t="shared" si="12"/>
        <v>Sammy</v>
      </c>
      <c r="M15" s="180"/>
      <c r="N15" s="179">
        <v>1.0</v>
      </c>
      <c r="T15" s="132"/>
      <c r="U15" s="7"/>
    </row>
    <row r="16">
      <c r="A16" s="8"/>
      <c r="B16" s="129">
        <f t="shared" si="9"/>
        <v>4</v>
      </c>
      <c r="C16" s="156" t="str">
        <f t="shared" si="10"/>
        <v>Henry</v>
      </c>
      <c r="D16" s="180">
        <v>1.0</v>
      </c>
      <c r="E16" s="181"/>
      <c r="K16" s="129">
        <f t="shared" si="11"/>
        <v>4</v>
      </c>
      <c r="L16" s="156" t="str">
        <f t="shared" si="12"/>
        <v>Giacomo</v>
      </c>
      <c r="M16" s="180">
        <v>1.0</v>
      </c>
      <c r="N16" s="181"/>
      <c r="T16" s="132"/>
      <c r="U16" s="7"/>
    </row>
    <row r="17">
      <c r="A17" s="14"/>
      <c r="B17" s="135">
        <f t="shared" si="9"/>
        <v>4</v>
      </c>
      <c r="C17" s="156" t="str">
        <f t="shared" si="10"/>
        <v>Toban</v>
      </c>
      <c r="D17" s="180">
        <v>1.0</v>
      </c>
      <c r="E17" s="179"/>
      <c r="K17" s="135">
        <f t="shared" si="11"/>
        <v>4</v>
      </c>
      <c r="L17" s="156" t="str">
        <f t="shared" si="12"/>
        <v>Sammy</v>
      </c>
      <c r="M17" s="180">
        <v>1.0</v>
      </c>
      <c r="N17" s="179"/>
      <c r="T17" s="132"/>
      <c r="U17" s="7"/>
    </row>
    <row r="18">
      <c r="A18" s="8"/>
      <c r="B18" s="129">
        <f t="shared" si="9"/>
        <v>5</v>
      </c>
      <c r="C18" s="156" t="str">
        <f t="shared" si="10"/>
        <v>Henry</v>
      </c>
      <c r="D18" s="180">
        <v>1.0</v>
      </c>
      <c r="E18" s="179"/>
      <c r="K18" s="129">
        <f t="shared" si="11"/>
        <v>5</v>
      </c>
      <c r="L18" s="156" t="str">
        <f t="shared" si="12"/>
        <v>Giacomo</v>
      </c>
      <c r="M18" s="180">
        <v>1.0</v>
      </c>
      <c r="N18" s="181"/>
      <c r="T18" s="132"/>
      <c r="U18" s="7"/>
    </row>
    <row r="19">
      <c r="A19" s="14"/>
      <c r="B19" s="135">
        <f t="shared" si="9"/>
        <v>5</v>
      </c>
      <c r="C19" s="156" t="str">
        <f t="shared" si="10"/>
        <v>Toban</v>
      </c>
      <c r="D19" s="180">
        <v>1.0</v>
      </c>
      <c r="E19" s="181"/>
      <c r="K19" s="135">
        <f t="shared" si="11"/>
        <v>5</v>
      </c>
      <c r="L19" s="156" t="str">
        <f t="shared" si="12"/>
        <v>Sammy</v>
      </c>
      <c r="M19" s="180">
        <v>1.0</v>
      </c>
      <c r="N19" s="179"/>
      <c r="T19" s="132"/>
      <c r="U19" s="7"/>
    </row>
    <row r="20">
      <c r="A20" s="8"/>
      <c r="B20" s="129">
        <f t="shared" si="9"/>
        <v>6</v>
      </c>
      <c r="C20" s="156" t="str">
        <f t="shared" si="10"/>
        <v>Henry</v>
      </c>
      <c r="D20" s="180">
        <v>1.0</v>
      </c>
      <c r="E20" s="179"/>
      <c r="K20" s="129">
        <f t="shared" si="11"/>
        <v>6</v>
      </c>
      <c r="L20" s="156" t="str">
        <f t="shared" si="12"/>
        <v>Giacomo</v>
      </c>
      <c r="M20" s="180">
        <v>1.0</v>
      </c>
      <c r="N20" s="181"/>
      <c r="T20" s="132"/>
      <c r="U20" s="7"/>
    </row>
    <row r="21">
      <c r="A21" s="14"/>
      <c r="B21" s="135">
        <f t="shared" si="9"/>
        <v>6</v>
      </c>
      <c r="C21" s="156" t="str">
        <f t="shared" si="10"/>
        <v>Toban</v>
      </c>
      <c r="D21" s="180">
        <v>1.0</v>
      </c>
      <c r="E21" s="181"/>
      <c r="K21" s="135">
        <f t="shared" si="11"/>
        <v>6</v>
      </c>
      <c r="L21" s="156" t="str">
        <f t="shared" si="12"/>
        <v>Sammy</v>
      </c>
      <c r="M21" s="180">
        <v>1.0</v>
      </c>
      <c r="N21" s="181"/>
      <c r="T21" s="132"/>
      <c r="U21" s="7"/>
    </row>
    <row r="22">
      <c r="A22" s="8"/>
      <c r="B22" s="129">
        <f t="shared" si="9"/>
        <v>7</v>
      </c>
      <c r="C22" s="156" t="str">
        <f t="shared" si="10"/>
        <v>Henry</v>
      </c>
      <c r="D22" s="180"/>
      <c r="E22" s="179">
        <v>1.0</v>
      </c>
      <c r="K22" s="129">
        <f t="shared" si="11"/>
        <v>7</v>
      </c>
      <c r="L22" s="156" t="str">
        <f t="shared" si="12"/>
        <v>Giacomo</v>
      </c>
      <c r="M22" s="180"/>
      <c r="N22" s="179">
        <v>1.0</v>
      </c>
      <c r="T22" s="132"/>
      <c r="U22" s="7"/>
    </row>
    <row r="23">
      <c r="A23" s="14"/>
      <c r="B23" s="135">
        <f t="shared" si="9"/>
        <v>7</v>
      </c>
      <c r="C23" s="156" t="str">
        <f t="shared" si="10"/>
        <v>Toban</v>
      </c>
      <c r="D23" s="180">
        <v>1.0</v>
      </c>
      <c r="E23" s="181"/>
      <c r="K23" s="135">
        <f t="shared" si="11"/>
        <v>7</v>
      </c>
      <c r="L23" s="156" t="str">
        <f t="shared" si="12"/>
        <v>Sammy</v>
      </c>
      <c r="M23" s="180">
        <v>1.0</v>
      </c>
      <c r="N23" s="181"/>
      <c r="T23" s="132"/>
      <c r="U23" s="7"/>
    </row>
    <row r="24">
      <c r="A24" s="8"/>
      <c r="B24" s="129">
        <f t="shared" si="9"/>
        <v>8</v>
      </c>
      <c r="C24" s="156" t="str">
        <f t="shared" si="10"/>
        <v>Henry</v>
      </c>
      <c r="D24" s="180">
        <v>1.0</v>
      </c>
      <c r="E24" s="181"/>
      <c r="K24" s="129">
        <f t="shared" si="11"/>
        <v>8</v>
      </c>
      <c r="L24" s="156" t="str">
        <f t="shared" si="12"/>
        <v>Giacomo</v>
      </c>
      <c r="M24" s="180"/>
      <c r="N24" s="179">
        <v>1.0</v>
      </c>
      <c r="T24" s="132"/>
      <c r="U24" s="7"/>
    </row>
    <row r="25">
      <c r="A25" s="14"/>
      <c r="B25" s="135">
        <f t="shared" si="9"/>
        <v>8</v>
      </c>
      <c r="C25" s="156" t="str">
        <f t="shared" si="10"/>
        <v>Toban</v>
      </c>
      <c r="D25" s="180">
        <v>1.0</v>
      </c>
      <c r="E25" s="181"/>
      <c r="K25" s="135">
        <f t="shared" si="11"/>
        <v>8</v>
      </c>
      <c r="L25" s="156" t="str">
        <f t="shared" si="12"/>
        <v>Sammy</v>
      </c>
      <c r="M25" s="178"/>
      <c r="N25" s="179">
        <v>1.0</v>
      </c>
      <c r="T25" s="132"/>
      <c r="U25" s="7"/>
    </row>
    <row r="26">
      <c r="A26" s="8"/>
      <c r="B26" s="129">
        <f t="shared" si="9"/>
        <v>9</v>
      </c>
      <c r="C26" s="156" t="str">
        <f t="shared" si="10"/>
        <v>Henry</v>
      </c>
      <c r="D26" s="180">
        <v>1.0</v>
      </c>
      <c r="E26" s="181"/>
      <c r="K26" s="129">
        <f t="shared" si="11"/>
        <v>9</v>
      </c>
      <c r="L26" s="156" t="str">
        <f t="shared" si="12"/>
        <v>Giacomo</v>
      </c>
      <c r="M26" s="180">
        <v>1.0</v>
      </c>
      <c r="N26" s="181"/>
      <c r="T26" s="132"/>
      <c r="U26" s="7"/>
    </row>
    <row r="27">
      <c r="A27" s="14"/>
      <c r="B27" s="135">
        <f t="shared" si="9"/>
        <v>9</v>
      </c>
      <c r="C27" s="156" t="str">
        <f t="shared" si="10"/>
        <v>Toban</v>
      </c>
      <c r="D27" s="180"/>
      <c r="E27" s="179">
        <v>1.0</v>
      </c>
      <c r="K27" s="135">
        <f t="shared" si="11"/>
        <v>9</v>
      </c>
      <c r="L27" s="156" t="str">
        <f t="shared" si="12"/>
        <v>Sammy</v>
      </c>
      <c r="M27" s="180">
        <v>1.0</v>
      </c>
      <c r="N27" s="181"/>
      <c r="T27" s="132"/>
      <c r="U27" s="7"/>
    </row>
    <row r="28">
      <c r="A28" s="8"/>
      <c r="B28" s="129">
        <f t="shared" si="9"/>
        <v>10</v>
      </c>
      <c r="C28" s="156" t="str">
        <f t="shared" si="10"/>
        <v>Henry</v>
      </c>
      <c r="D28" s="180">
        <v>1.0</v>
      </c>
      <c r="E28" s="181"/>
      <c r="K28" s="129">
        <f t="shared" si="11"/>
        <v>10</v>
      </c>
      <c r="L28" s="156" t="str">
        <f t="shared" si="12"/>
        <v>Giacomo</v>
      </c>
      <c r="M28" s="180">
        <v>1.0</v>
      </c>
      <c r="N28" s="181"/>
      <c r="T28" s="132"/>
      <c r="U28" s="7"/>
    </row>
    <row r="29">
      <c r="A29" s="14"/>
      <c r="B29" s="135">
        <f t="shared" si="9"/>
        <v>10</v>
      </c>
      <c r="C29" s="156" t="str">
        <f t="shared" si="10"/>
        <v>Toban</v>
      </c>
      <c r="D29" s="180"/>
      <c r="E29" s="179">
        <v>1.0</v>
      </c>
      <c r="K29" s="135">
        <f t="shared" si="11"/>
        <v>10</v>
      </c>
      <c r="L29" s="156" t="str">
        <f t="shared" si="12"/>
        <v>Sammy</v>
      </c>
      <c r="M29" s="180">
        <v>1.0</v>
      </c>
      <c r="N29" s="181"/>
      <c r="T29" s="132"/>
      <c r="U29" s="7"/>
    </row>
    <row r="30">
      <c r="A30" s="8"/>
      <c r="B30" s="129">
        <f t="shared" si="9"/>
        <v>11</v>
      </c>
      <c r="C30" s="156" t="str">
        <f t="shared" si="10"/>
        <v>Henry</v>
      </c>
      <c r="D30" s="180"/>
      <c r="E30" s="179">
        <v>1.0</v>
      </c>
      <c r="K30" s="129">
        <f t="shared" si="11"/>
        <v>11</v>
      </c>
      <c r="L30" s="156" t="str">
        <f t="shared" si="12"/>
        <v>Giacomo</v>
      </c>
      <c r="M30" s="180"/>
      <c r="N30" s="179">
        <v>1.0</v>
      </c>
      <c r="T30" s="132"/>
      <c r="U30" s="7"/>
    </row>
    <row r="31">
      <c r="A31" s="14"/>
      <c r="B31" s="135">
        <f t="shared" si="9"/>
        <v>11</v>
      </c>
      <c r="C31" s="156" t="str">
        <f t="shared" si="10"/>
        <v>Toban</v>
      </c>
      <c r="D31" s="180"/>
      <c r="E31" s="181"/>
      <c r="K31" s="135">
        <f t="shared" si="11"/>
        <v>11</v>
      </c>
      <c r="L31" s="156" t="str">
        <f t="shared" si="12"/>
        <v>Sammy</v>
      </c>
      <c r="M31" s="180">
        <v>1.0</v>
      </c>
      <c r="N31" s="179"/>
      <c r="T31" s="132"/>
      <c r="U31" s="7"/>
    </row>
    <row r="32">
      <c r="A32" s="8"/>
      <c r="B32" s="129">
        <f t="shared" si="9"/>
        <v>12</v>
      </c>
      <c r="C32" s="156" t="str">
        <f t="shared" si="10"/>
        <v>Henry</v>
      </c>
      <c r="D32" s="180">
        <v>1.0</v>
      </c>
      <c r="E32" s="181"/>
      <c r="K32" s="129">
        <f t="shared" si="11"/>
        <v>12</v>
      </c>
      <c r="L32" s="156" t="str">
        <f t="shared" si="12"/>
        <v>Giacomo</v>
      </c>
      <c r="M32" s="180">
        <v>1.0</v>
      </c>
      <c r="N32" s="181"/>
      <c r="T32" s="132"/>
      <c r="U32" s="7"/>
    </row>
    <row r="33">
      <c r="A33" s="14"/>
      <c r="B33" s="135">
        <f t="shared" si="9"/>
        <v>12</v>
      </c>
      <c r="C33" s="156" t="str">
        <f t="shared" si="10"/>
        <v>Toban</v>
      </c>
      <c r="D33" s="180">
        <v>1.0</v>
      </c>
      <c r="E33" s="181"/>
      <c r="K33" s="135">
        <f t="shared" si="11"/>
        <v>12</v>
      </c>
      <c r="L33" s="156" t="str">
        <f t="shared" si="12"/>
        <v>Sammy</v>
      </c>
      <c r="M33" s="178"/>
      <c r="N33" s="179">
        <v>1.0</v>
      </c>
      <c r="T33" s="132"/>
      <c r="U33" s="7"/>
    </row>
    <row r="34">
      <c r="A34" s="8"/>
      <c r="B34" s="129">
        <f t="shared" si="9"/>
        <v>13</v>
      </c>
      <c r="C34" s="156" t="str">
        <f t="shared" si="10"/>
        <v>Henry</v>
      </c>
      <c r="D34" s="180">
        <v>1.0</v>
      </c>
      <c r="E34" s="181"/>
      <c r="K34" s="129">
        <f t="shared" si="11"/>
        <v>13</v>
      </c>
      <c r="L34" s="156" t="str">
        <f t="shared" si="12"/>
        <v>Giacomo</v>
      </c>
      <c r="M34" s="180">
        <v>1.0</v>
      </c>
      <c r="N34" s="181"/>
      <c r="T34" s="132"/>
      <c r="U34" s="7"/>
    </row>
    <row r="35">
      <c r="A35" s="14"/>
      <c r="B35" s="135">
        <f t="shared" si="9"/>
        <v>13</v>
      </c>
      <c r="C35" s="156" t="str">
        <f t="shared" si="10"/>
        <v>Toban</v>
      </c>
      <c r="D35" s="180">
        <v>1.0</v>
      </c>
      <c r="E35" s="181"/>
      <c r="G35" s="136">
        <v>1.0</v>
      </c>
      <c r="K35" s="135">
        <f t="shared" si="11"/>
        <v>13</v>
      </c>
      <c r="L35" s="156" t="str">
        <f t="shared" si="12"/>
        <v>Sammy</v>
      </c>
      <c r="M35" s="180">
        <v>1.0</v>
      </c>
      <c r="N35" s="181"/>
      <c r="T35" s="132"/>
      <c r="U35" s="7"/>
    </row>
    <row r="36">
      <c r="A36" s="8"/>
      <c r="B36" s="129">
        <f t="shared" si="9"/>
        <v>14</v>
      </c>
      <c r="C36" s="156" t="str">
        <f t="shared" si="10"/>
        <v>Henry</v>
      </c>
      <c r="D36" s="180"/>
      <c r="E36" s="179">
        <v>1.0</v>
      </c>
      <c r="K36" s="129">
        <f t="shared" si="11"/>
        <v>14</v>
      </c>
      <c r="L36" s="156" t="str">
        <f t="shared" si="12"/>
        <v>Giacomo</v>
      </c>
      <c r="M36" s="180">
        <v>1.0</v>
      </c>
      <c r="N36" s="181"/>
      <c r="T36" s="132"/>
      <c r="U36" s="7"/>
    </row>
    <row r="37">
      <c r="A37" s="14"/>
      <c r="B37" s="135">
        <f t="shared" si="9"/>
        <v>14</v>
      </c>
      <c r="C37" s="156" t="str">
        <f t="shared" si="10"/>
        <v>Toban</v>
      </c>
      <c r="D37" s="180">
        <v>1.0</v>
      </c>
      <c r="E37" s="181"/>
      <c r="K37" s="135">
        <f t="shared" si="11"/>
        <v>14</v>
      </c>
      <c r="L37" s="156" t="str">
        <f t="shared" si="12"/>
        <v>Sammy</v>
      </c>
      <c r="M37" s="180">
        <v>1.0</v>
      </c>
      <c r="N37" s="181"/>
      <c r="T37" s="132"/>
      <c r="U37" s="7"/>
    </row>
    <row r="38">
      <c r="A38" s="8"/>
      <c r="B38" s="129">
        <f t="shared" si="9"/>
        <v>15</v>
      </c>
      <c r="C38" s="156" t="str">
        <f t="shared" si="10"/>
        <v>Henry</v>
      </c>
      <c r="D38" s="180">
        <v>1.0</v>
      </c>
      <c r="E38" s="181"/>
      <c r="K38" s="129">
        <f t="shared" si="11"/>
        <v>15</v>
      </c>
      <c r="L38" s="156" t="str">
        <f t="shared" si="12"/>
        <v>Giacomo</v>
      </c>
      <c r="M38" s="180">
        <v>1.0</v>
      </c>
      <c r="N38" s="181"/>
      <c r="T38" s="132"/>
      <c r="U38" s="7"/>
    </row>
    <row r="39">
      <c r="A39" s="14"/>
      <c r="B39" s="135">
        <f t="shared" si="9"/>
        <v>15</v>
      </c>
      <c r="C39" s="156" t="str">
        <f t="shared" si="10"/>
        <v>Toban</v>
      </c>
      <c r="D39" s="180">
        <v>1.0</v>
      </c>
      <c r="E39" s="181"/>
      <c r="K39" s="135">
        <f t="shared" si="11"/>
        <v>15</v>
      </c>
      <c r="L39" s="156" t="str">
        <f t="shared" si="12"/>
        <v>Sammy</v>
      </c>
      <c r="M39" s="180">
        <v>1.0</v>
      </c>
      <c r="N39" s="181"/>
      <c r="T39" s="132"/>
      <c r="U39" s="7"/>
    </row>
    <row r="40">
      <c r="A40" s="8"/>
      <c r="B40" s="129">
        <f t="shared" si="9"/>
        <v>16</v>
      </c>
      <c r="C40" s="156" t="str">
        <f t="shared" si="10"/>
        <v>Henry</v>
      </c>
      <c r="D40" s="180">
        <v>1.0</v>
      </c>
      <c r="E40" s="179"/>
      <c r="K40" s="129">
        <f t="shared" si="11"/>
        <v>16</v>
      </c>
      <c r="L40" s="156" t="str">
        <f t="shared" si="12"/>
        <v>Giacomo</v>
      </c>
      <c r="M40" s="180">
        <v>1.0</v>
      </c>
      <c r="N40" s="181"/>
      <c r="T40" s="132"/>
      <c r="U40" s="7"/>
    </row>
    <row r="41">
      <c r="A41" s="14"/>
      <c r="B41" s="135">
        <f t="shared" si="9"/>
        <v>16</v>
      </c>
      <c r="C41" s="156" t="str">
        <f t="shared" si="10"/>
        <v>Toban</v>
      </c>
      <c r="D41" s="180">
        <v>1.0</v>
      </c>
      <c r="E41" s="181"/>
      <c r="K41" s="135">
        <f t="shared" si="11"/>
        <v>16</v>
      </c>
      <c r="L41" s="156" t="str">
        <f t="shared" si="12"/>
        <v>Sammy</v>
      </c>
      <c r="M41" s="178"/>
      <c r="N41" s="179">
        <v>1.0</v>
      </c>
      <c r="T41" s="132"/>
      <c r="U41" s="7"/>
    </row>
    <row r="42">
      <c r="A42" s="8"/>
      <c r="B42" s="129">
        <f t="shared" si="9"/>
        <v>17</v>
      </c>
      <c r="C42" s="156" t="str">
        <f t="shared" si="10"/>
        <v>Henry</v>
      </c>
      <c r="D42" s="180">
        <v>1.0</v>
      </c>
      <c r="E42" s="181"/>
      <c r="K42" s="129">
        <f t="shared" si="11"/>
        <v>17</v>
      </c>
      <c r="L42" s="156" t="str">
        <f t="shared" si="12"/>
        <v>Giacomo</v>
      </c>
      <c r="M42" s="180">
        <v>1.0</v>
      </c>
      <c r="N42" s="181"/>
      <c r="T42" s="132"/>
      <c r="U42" s="7"/>
    </row>
    <row r="43">
      <c r="A43" s="14"/>
      <c r="B43" s="135">
        <f t="shared" si="9"/>
        <v>17</v>
      </c>
      <c r="C43" s="156" t="str">
        <f t="shared" si="10"/>
        <v>Toban</v>
      </c>
      <c r="D43" s="180">
        <v>1.0</v>
      </c>
      <c r="E43" s="179"/>
      <c r="K43" s="135">
        <f t="shared" si="11"/>
        <v>17</v>
      </c>
      <c r="L43" s="156" t="str">
        <f t="shared" si="12"/>
        <v>Sammy</v>
      </c>
      <c r="M43" s="180">
        <v>1.0</v>
      </c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Henry</v>
      </c>
      <c r="D44" s="180">
        <v>1.0</v>
      </c>
      <c r="E44" s="181"/>
      <c r="K44" s="129">
        <f t="shared" si="11"/>
        <v>18</v>
      </c>
      <c r="L44" s="156" t="str">
        <f t="shared" si="12"/>
        <v>Giacomo</v>
      </c>
      <c r="M44" s="180">
        <v>1.0</v>
      </c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Toban</v>
      </c>
      <c r="D45" s="180">
        <v>1.0</v>
      </c>
      <c r="E45" s="181"/>
      <c r="K45" s="129">
        <f t="shared" si="11"/>
        <v>18</v>
      </c>
      <c r="L45" s="156" t="str">
        <f t="shared" si="12"/>
        <v>Sammy</v>
      </c>
      <c r="M45" s="180">
        <v>1.0</v>
      </c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Henry</v>
      </c>
      <c r="D46" s="180">
        <v>1.0</v>
      </c>
      <c r="E46" s="181"/>
      <c r="K46" s="135">
        <f t="shared" si="11"/>
        <v>19</v>
      </c>
      <c r="L46" s="156" t="str">
        <f t="shared" si="12"/>
        <v>Giacomo</v>
      </c>
      <c r="M46" s="180">
        <v>1.0</v>
      </c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Toban</v>
      </c>
      <c r="D47" s="180">
        <v>1.0</v>
      </c>
      <c r="E47" s="181"/>
      <c r="K47" s="129">
        <f t="shared" si="11"/>
        <v>19</v>
      </c>
      <c r="L47" s="156" t="str">
        <f t="shared" si="12"/>
        <v>Sammy</v>
      </c>
      <c r="M47" s="180">
        <v>1.0</v>
      </c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Henry</v>
      </c>
      <c r="D48" s="180">
        <v>1.0</v>
      </c>
      <c r="E48" s="181"/>
      <c r="K48" s="135">
        <f t="shared" si="11"/>
        <v>20</v>
      </c>
      <c r="L48" s="156" t="str">
        <f t="shared" si="12"/>
        <v>Giacomo</v>
      </c>
      <c r="M48" s="180">
        <v>1.0</v>
      </c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Toban</v>
      </c>
      <c r="D49" s="178"/>
      <c r="E49" s="179">
        <v>1.0</v>
      </c>
      <c r="K49" s="129">
        <f t="shared" si="11"/>
        <v>20</v>
      </c>
      <c r="L49" s="156" t="str">
        <f t="shared" si="12"/>
        <v>Sammy</v>
      </c>
      <c r="M49" s="180">
        <v>1.0</v>
      </c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Henry</v>
      </c>
      <c r="D50" s="180"/>
      <c r="E50" s="179">
        <v>1.0</v>
      </c>
      <c r="K50" s="129">
        <f t="shared" si="11"/>
        <v>21</v>
      </c>
      <c r="L50" s="156" t="str">
        <f t="shared" si="12"/>
        <v>Giacomo</v>
      </c>
      <c r="M50" s="180">
        <v>1.0</v>
      </c>
      <c r="N50" s="181"/>
      <c r="P50" s="136">
        <v>1.0</v>
      </c>
      <c r="T50" s="132"/>
      <c r="U50" s="7"/>
    </row>
    <row r="51">
      <c r="A51" s="14"/>
      <c r="B51" s="135">
        <f t="shared" si="9"/>
        <v>21</v>
      </c>
      <c r="C51" s="156" t="str">
        <f t="shared" si="10"/>
        <v>Toban</v>
      </c>
      <c r="D51" s="180"/>
      <c r="E51" s="179">
        <v>1.0</v>
      </c>
      <c r="K51" s="135">
        <f t="shared" si="11"/>
        <v>21</v>
      </c>
      <c r="L51" s="156" t="str">
        <f t="shared" si="12"/>
        <v>Sammy</v>
      </c>
      <c r="M51" s="180">
        <v>1.0</v>
      </c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Henry</v>
      </c>
      <c r="D52" s="178"/>
      <c r="E52" s="181"/>
      <c r="K52" s="129">
        <f t="shared" si="11"/>
        <v>22</v>
      </c>
      <c r="L52" s="156" t="str">
        <f t="shared" si="12"/>
        <v>Giacomo</v>
      </c>
      <c r="M52" s="180">
        <v>1.0</v>
      </c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Toban</v>
      </c>
      <c r="D53" s="178"/>
      <c r="E53" s="181"/>
      <c r="K53" s="135">
        <f t="shared" si="11"/>
        <v>22</v>
      </c>
      <c r="L53" s="156" t="str">
        <f t="shared" si="12"/>
        <v>Sammy</v>
      </c>
      <c r="M53" s="180">
        <v>1.0</v>
      </c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Henry</v>
      </c>
      <c r="D54" s="178"/>
      <c r="E54" s="181"/>
      <c r="K54" s="129">
        <f t="shared" si="11"/>
        <v>23</v>
      </c>
      <c r="L54" s="156" t="str">
        <f t="shared" si="12"/>
        <v>Giacomo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Toban</v>
      </c>
      <c r="D55" s="178"/>
      <c r="E55" s="181"/>
      <c r="K55" s="135">
        <f t="shared" si="11"/>
        <v>23</v>
      </c>
      <c r="L55" s="156" t="str">
        <f t="shared" si="12"/>
        <v>Sammy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Henry</v>
      </c>
      <c r="D56" s="178"/>
      <c r="E56" s="181"/>
      <c r="K56" s="129">
        <f t="shared" si="11"/>
        <v>24</v>
      </c>
      <c r="L56" s="156" t="str">
        <f t="shared" si="12"/>
        <v>Giacomo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Toban</v>
      </c>
      <c r="D57" s="178"/>
      <c r="E57" s="181"/>
      <c r="K57" s="129">
        <f t="shared" si="11"/>
        <v>24</v>
      </c>
      <c r="L57" s="156" t="str">
        <f t="shared" si="12"/>
        <v>Sammy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Henry</v>
      </c>
      <c r="D58" s="178"/>
      <c r="E58" s="181"/>
      <c r="K58" s="135">
        <f t="shared" si="11"/>
        <v>25</v>
      </c>
      <c r="L58" s="156" t="str">
        <f t="shared" si="12"/>
        <v>Giacomo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Toban</v>
      </c>
      <c r="D59" s="178"/>
      <c r="E59" s="181"/>
      <c r="K59" s="129">
        <f t="shared" si="11"/>
        <v>25</v>
      </c>
      <c r="L59" s="156" t="str">
        <f t="shared" si="12"/>
        <v>Sammy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Henry</v>
      </c>
      <c r="D60" s="178"/>
      <c r="E60" s="181"/>
      <c r="K60" s="135">
        <f t="shared" si="11"/>
        <v>26</v>
      </c>
      <c r="L60" s="156" t="str">
        <f t="shared" si="12"/>
        <v>Giacomo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Toban</v>
      </c>
      <c r="D61" s="178"/>
      <c r="E61" s="181"/>
      <c r="K61" s="129">
        <f t="shared" si="11"/>
        <v>26</v>
      </c>
      <c r="L61" s="156" t="str">
        <f t="shared" si="12"/>
        <v>Sammy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Henry</v>
      </c>
      <c r="D62" s="178"/>
      <c r="E62" s="181"/>
      <c r="K62" s="135">
        <f t="shared" si="11"/>
        <v>27</v>
      </c>
      <c r="L62" s="156" t="str">
        <f t="shared" si="12"/>
        <v>Giacomo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Toban</v>
      </c>
      <c r="D63" s="178"/>
      <c r="E63" s="181"/>
      <c r="K63" s="129">
        <f t="shared" si="11"/>
        <v>27</v>
      </c>
      <c r="L63" s="156" t="str">
        <f t="shared" si="12"/>
        <v>Sammy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Henry</v>
      </c>
      <c r="D64" s="178"/>
      <c r="E64" s="181"/>
      <c r="K64" s="135">
        <f t="shared" si="11"/>
        <v>28</v>
      </c>
      <c r="L64" s="156" t="str">
        <f t="shared" si="12"/>
        <v>Giacomo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Toban</v>
      </c>
      <c r="D65" s="178"/>
      <c r="E65" s="181"/>
      <c r="K65" s="129">
        <f t="shared" si="11"/>
        <v>28</v>
      </c>
      <c r="L65" s="156" t="str">
        <f t="shared" si="12"/>
        <v>Sammy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Henry</v>
      </c>
      <c r="D66" s="178"/>
      <c r="E66" s="181"/>
      <c r="K66" s="135">
        <f t="shared" si="11"/>
        <v>29</v>
      </c>
      <c r="L66" s="156" t="str">
        <f t="shared" si="12"/>
        <v>Giacomo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Toban</v>
      </c>
      <c r="D67" s="178"/>
      <c r="E67" s="181"/>
      <c r="K67" s="135">
        <f t="shared" si="11"/>
        <v>29</v>
      </c>
      <c r="L67" s="156" t="str">
        <f t="shared" si="12"/>
        <v>Sammy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Henry</v>
      </c>
      <c r="D68" s="178"/>
      <c r="E68" s="181"/>
      <c r="K68" s="135">
        <f t="shared" si="11"/>
        <v>30</v>
      </c>
      <c r="L68" s="156" t="str">
        <f t="shared" si="12"/>
        <v>Giacomo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Toban</v>
      </c>
      <c r="D69" s="178"/>
      <c r="E69" s="181"/>
      <c r="K69" s="135">
        <f t="shared" si="11"/>
        <v>30</v>
      </c>
      <c r="L69" s="156" t="str">
        <f t="shared" si="12"/>
        <v>Sammy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Henry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Giacomo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Toban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Sammy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Henry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Giacomo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Toban</v>
      </c>
      <c r="D73" s="178"/>
      <c r="E73" s="181"/>
      <c r="K73" s="129">
        <v>32.0</v>
      </c>
      <c r="L73" s="156" t="str">
        <f t="shared" si="12"/>
        <v>Sammy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Henry</v>
      </c>
      <c r="D74" s="192"/>
      <c r="E74" s="181"/>
      <c r="K74" s="129">
        <v>33.0</v>
      </c>
      <c r="L74" s="156" t="str">
        <f t="shared" si="12"/>
        <v>Giacomo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Toban</v>
      </c>
      <c r="D75" s="178"/>
      <c r="E75" s="181"/>
      <c r="K75" s="129">
        <v>33.0</v>
      </c>
      <c r="L75" s="156" t="str">
        <f t="shared" si="12"/>
        <v>Sammy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Henry</v>
      </c>
      <c r="D76" s="178"/>
      <c r="E76" s="181"/>
      <c r="K76" s="129">
        <v>34.0</v>
      </c>
      <c r="L76" s="156" t="str">
        <f t="shared" si="12"/>
        <v>Giacomo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Toban</v>
      </c>
      <c r="D77" s="178"/>
      <c r="E77" s="181"/>
      <c r="K77" s="129">
        <v>34.0</v>
      </c>
      <c r="L77" s="156" t="str">
        <f t="shared" si="12"/>
        <v>Sammy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Henry</v>
      </c>
      <c r="D78" s="178"/>
      <c r="E78" s="181"/>
      <c r="K78" s="129">
        <v>35.0</v>
      </c>
      <c r="L78" s="156" t="str">
        <f t="shared" si="12"/>
        <v>Giacomo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Toban</v>
      </c>
      <c r="D79" s="178"/>
      <c r="E79" s="181"/>
      <c r="K79" s="129">
        <v>35.0</v>
      </c>
      <c r="L79" s="156" t="str">
        <f t="shared" si="12"/>
        <v>Sammy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Henry</v>
      </c>
      <c r="D80" s="178"/>
      <c r="E80" s="181"/>
      <c r="K80" s="129">
        <v>36.0</v>
      </c>
      <c r="L80" s="156" t="str">
        <f t="shared" si="12"/>
        <v>Giacomo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Toban</v>
      </c>
      <c r="D81" s="178"/>
      <c r="E81" s="181"/>
      <c r="K81" s="129">
        <v>36.0</v>
      </c>
      <c r="L81" s="156" t="str">
        <f t="shared" si="12"/>
        <v>Sammy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Henry</v>
      </c>
      <c r="D82" s="178"/>
      <c r="E82" s="181"/>
      <c r="K82" s="129">
        <v>37.0</v>
      </c>
      <c r="L82" s="156" t="str">
        <f t="shared" si="12"/>
        <v>Giacomo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Toban</v>
      </c>
      <c r="D83" s="178"/>
      <c r="E83" s="181"/>
      <c r="K83" s="129">
        <v>37.0</v>
      </c>
      <c r="L83" s="156" t="str">
        <f t="shared" si="12"/>
        <v>Sammy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Henry</v>
      </c>
      <c r="D84" s="178"/>
      <c r="E84" s="181"/>
      <c r="K84" s="129">
        <v>38.0</v>
      </c>
      <c r="L84" s="156" t="str">
        <f t="shared" si="12"/>
        <v>Giacomo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Toban</v>
      </c>
      <c r="D85" s="178"/>
      <c r="E85" s="181"/>
      <c r="K85" s="129">
        <v>38.0</v>
      </c>
      <c r="L85" s="156" t="str">
        <f t="shared" si="12"/>
        <v>Sammy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Henry</v>
      </c>
      <c r="D86" s="178"/>
      <c r="E86" s="181"/>
      <c r="K86" s="129">
        <v>39.0</v>
      </c>
      <c r="L86" s="156" t="str">
        <f t="shared" si="12"/>
        <v>Giacomo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Toban</v>
      </c>
      <c r="D87" s="178"/>
      <c r="E87" s="181"/>
      <c r="K87" s="129">
        <v>39.0</v>
      </c>
      <c r="L87" s="156" t="str">
        <f t="shared" si="12"/>
        <v>Sammy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Henry</v>
      </c>
      <c r="D88" s="178"/>
      <c r="E88" s="181"/>
      <c r="K88" s="129">
        <v>40.0</v>
      </c>
      <c r="L88" s="156" t="str">
        <f t="shared" si="12"/>
        <v>Giacomo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Toban</v>
      </c>
      <c r="D89" s="178"/>
      <c r="E89" s="181"/>
      <c r="K89" s="129">
        <v>40.0</v>
      </c>
      <c r="L89" s="156" t="str">
        <f t="shared" si="12"/>
        <v>Sammy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0.13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99</v>
      </c>
      <c r="D3" s="189">
        <f t="shared" ref="D3:J3" si="1">SUMPRODUCT(D10:D90,MOD(ROW(D10:D90),2)=0)</f>
        <v>11</v>
      </c>
      <c r="E3" s="189">
        <f t="shared" si="1"/>
        <v>3</v>
      </c>
      <c r="F3" s="189">
        <f t="shared" si="1"/>
        <v>1</v>
      </c>
      <c r="G3" s="189">
        <f t="shared" si="1"/>
        <v>0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93</v>
      </c>
      <c r="M3" s="189">
        <f t="shared" ref="M3:S3" si="2">SUMPRODUCT(M10:M90,MOD(ROW(M10:M90),2)=0)</f>
        <v>11</v>
      </c>
      <c r="N3" s="189">
        <f t="shared" si="2"/>
        <v>4</v>
      </c>
      <c r="O3" s="189">
        <f t="shared" si="2"/>
        <v>0</v>
      </c>
      <c r="P3" s="189">
        <f t="shared" si="2"/>
        <v>0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81</v>
      </c>
      <c r="D4" s="191">
        <f t="shared" ref="D4:J4" si="3">SUMPRODUCT(D10:D90,MOD(ROW(D10:D90),2))</f>
        <v>8</v>
      </c>
      <c r="E4" s="191">
        <f t="shared" si="3"/>
        <v>7</v>
      </c>
      <c r="F4" s="191">
        <f t="shared" si="3"/>
        <v>0</v>
      </c>
      <c r="G4" s="191">
        <f t="shared" si="3"/>
        <v>0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125</v>
      </c>
      <c r="M4" s="191">
        <f t="shared" ref="M4:S4" si="4">SUMPRODUCT(M10:M90,MOD(ROW(M10:M90),2))</f>
        <v>13</v>
      </c>
      <c r="N4" s="191">
        <f t="shared" si="4"/>
        <v>2</v>
      </c>
      <c r="O4" s="191">
        <f t="shared" si="4"/>
        <v>1</v>
      </c>
      <c r="P4" s="191">
        <f t="shared" si="4"/>
        <v>0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Stolz %</v>
      </c>
      <c r="D5" s="137">
        <f t="shared" ref="D5:D6" si="6">IFERROR((E3/(E3+D3)),0)</f>
        <v>0.2142857143</v>
      </c>
      <c r="K5" s="135"/>
      <c r="L5" s="136" t="str">
        <f t="shared" ref="L5:L6" si="7">IFERROR((L10 &amp;" %"), "")</f>
        <v> Israel %</v>
      </c>
      <c r="M5" s="137">
        <f t="shared" ref="M5:M6" si="8">IFERROR((N3/(N3+M3)),0)</f>
        <v>0.2666666667</v>
      </c>
      <c r="S5" s="132"/>
      <c r="T5" s="132"/>
      <c r="U5" s="7"/>
    </row>
    <row r="6">
      <c r="A6" s="14"/>
      <c r="B6" s="138"/>
      <c r="C6" s="139" t="str">
        <f t="shared" si="5"/>
        <v> Creamer %</v>
      </c>
      <c r="D6" s="140">
        <f t="shared" si="6"/>
        <v>0.4666666667</v>
      </c>
      <c r="E6" s="141"/>
      <c r="F6" s="141"/>
      <c r="G6" s="141"/>
      <c r="H6" s="141"/>
      <c r="I6" s="141"/>
      <c r="J6" s="141"/>
      <c r="K6" s="138"/>
      <c r="L6" s="139" t="str">
        <f t="shared" si="7"/>
        <v> Cashman %</v>
      </c>
      <c r="M6" s="142">
        <f t="shared" si="8"/>
        <v>0.1333333333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Stolz")</f>
        <v> Stolz</v>
      </c>
      <c r="D10" s="180">
        <v>1.0</v>
      </c>
      <c r="E10" s="181"/>
      <c r="F10" s="136"/>
      <c r="G10" s="136"/>
      <c r="K10" s="129">
        <v>1.0</v>
      </c>
      <c r="L10" s="136" t="str">
        <f>IFERROR(__xludf.DUMMYFUNCTION("REGEXEXTRACT(L3, ""( .*)+"")")," Israel")</f>
        <v> Israel</v>
      </c>
      <c r="M10" s="180">
        <v>1.0</v>
      </c>
      <c r="N10" s="179"/>
      <c r="P10" s="186"/>
      <c r="T10" s="132"/>
      <c r="U10" s="7"/>
    </row>
    <row r="11">
      <c r="A11" s="8"/>
      <c r="B11" s="129">
        <v>1.0</v>
      </c>
      <c r="C11" s="136" t="str">
        <f>IFERROR(__xludf.DUMMYFUNCTION("REGEXEXTRACT(C4, ""( .*)+"")")," Creamer")</f>
        <v> Creamer</v>
      </c>
      <c r="D11" s="180">
        <v>1.0</v>
      </c>
      <c r="E11" s="179"/>
      <c r="K11" s="129">
        <v>1.0</v>
      </c>
      <c r="L11" s="136" t="str">
        <f>IFERROR(__xludf.DUMMYFUNCTION("REGEXEXTRACT(L4, ""( .*)+"")")," Cashman")</f>
        <v> Cashman</v>
      </c>
      <c r="M11" s="180">
        <v>1.0</v>
      </c>
      <c r="N11" s="179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Stolz</v>
      </c>
      <c r="D12" s="180">
        <v>1.0</v>
      </c>
      <c r="E12" s="179"/>
      <c r="K12" s="129">
        <f t="shared" ref="K12:K69" si="11">K10+1</f>
        <v>2</v>
      </c>
      <c r="L12" s="156" t="str">
        <f t="shared" ref="L12:L89" si="12">L10</f>
        <v> Israel</v>
      </c>
      <c r="M12" s="180"/>
      <c r="N12" s="179">
        <v>1.0</v>
      </c>
      <c r="T12" s="132"/>
      <c r="U12" s="7"/>
    </row>
    <row r="13">
      <c r="A13" s="14"/>
      <c r="B13" s="135">
        <f t="shared" si="9"/>
        <v>2</v>
      </c>
      <c r="C13" s="156" t="str">
        <f t="shared" si="10"/>
        <v> Creamer</v>
      </c>
      <c r="D13" s="180">
        <v>1.0</v>
      </c>
      <c r="E13" s="179"/>
      <c r="K13" s="135">
        <f t="shared" si="11"/>
        <v>2</v>
      </c>
      <c r="L13" s="156" t="str">
        <f t="shared" si="12"/>
        <v> Cashman</v>
      </c>
      <c r="M13" s="180">
        <v>1.0</v>
      </c>
      <c r="N13" s="181"/>
      <c r="T13" s="132"/>
      <c r="U13" s="7"/>
    </row>
    <row r="14">
      <c r="A14" s="8"/>
      <c r="B14" s="129">
        <f t="shared" si="9"/>
        <v>3</v>
      </c>
      <c r="C14" s="156" t="str">
        <f t="shared" si="10"/>
        <v> Stolz</v>
      </c>
      <c r="D14" s="180"/>
      <c r="E14" s="179">
        <v>1.0</v>
      </c>
      <c r="K14" s="129">
        <f t="shared" si="11"/>
        <v>3</v>
      </c>
      <c r="L14" s="156" t="str">
        <f t="shared" si="12"/>
        <v> Israel</v>
      </c>
      <c r="M14" s="180">
        <v>1.0</v>
      </c>
      <c r="N14" s="181"/>
      <c r="T14" s="132"/>
      <c r="U14" s="7"/>
    </row>
    <row r="15">
      <c r="A15" s="14"/>
      <c r="B15" s="135">
        <f t="shared" si="9"/>
        <v>3</v>
      </c>
      <c r="C15" s="156" t="str">
        <f t="shared" si="10"/>
        <v> Creamer</v>
      </c>
      <c r="D15" s="180">
        <v>1.0</v>
      </c>
      <c r="E15" s="179"/>
      <c r="K15" s="135">
        <f t="shared" si="11"/>
        <v>3</v>
      </c>
      <c r="L15" s="156" t="str">
        <f t="shared" si="12"/>
        <v> Cashman</v>
      </c>
      <c r="M15" s="180">
        <v>1.0</v>
      </c>
      <c r="N15" s="181"/>
      <c r="T15" s="132"/>
      <c r="U15" s="7"/>
    </row>
    <row r="16">
      <c r="A16" s="8"/>
      <c r="B16" s="129">
        <f t="shared" si="9"/>
        <v>4</v>
      </c>
      <c r="C16" s="156" t="str">
        <f t="shared" si="10"/>
        <v> Stolz</v>
      </c>
      <c r="D16" s="180">
        <v>1.0</v>
      </c>
      <c r="E16" s="181"/>
      <c r="K16" s="129">
        <f t="shared" si="11"/>
        <v>4</v>
      </c>
      <c r="L16" s="156" t="str">
        <f t="shared" si="12"/>
        <v> Israel</v>
      </c>
      <c r="M16" s="180"/>
      <c r="N16" s="179">
        <v>1.0</v>
      </c>
      <c r="T16" s="132"/>
      <c r="U16" s="7"/>
    </row>
    <row r="17">
      <c r="A17" s="14"/>
      <c r="B17" s="135">
        <f t="shared" si="9"/>
        <v>4</v>
      </c>
      <c r="C17" s="156" t="str">
        <f t="shared" si="10"/>
        <v> Creamer</v>
      </c>
      <c r="D17" s="180">
        <v>1.0</v>
      </c>
      <c r="E17" s="179"/>
      <c r="K17" s="135">
        <f t="shared" si="11"/>
        <v>4</v>
      </c>
      <c r="L17" s="156" t="str">
        <f t="shared" si="12"/>
        <v> Cashman</v>
      </c>
      <c r="M17" s="180">
        <v>1.0</v>
      </c>
      <c r="N17" s="179"/>
      <c r="T17" s="132"/>
      <c r="U17" s="7"/>
    </row>
    <row r="18">
      <c r="A18" s="8"/>
      <c r="B18" s="129">
        <f t="shared" si="9"/>
        <v>5</v>
      </c>
      <c r="C18" s="156" t="str">
        <f t="shared" si="10"/>
        <v> Stolz</v>
      </c>
      <c r="D18" s="180">
        <v>1.0</v>
      </c>
      <c r="E18" s="179"/>
      <c r="K18" s="129">
        <f t="shared" si="11"/>
        <v>5</v>
      </c>
      <c r="L18" s="156" t="str">
        <f t="shared" si="12"/>
        <v> Israel</v>
      </c>
      <c r="M18" s="180"/>
      <c r="N18" s="179">
        <v>1.0</v>
      </c>
      <c r="T18" s="132"/>
      <c r="U18" s="7"/>
    </row>
    <row r="19">
      <c r="A19" s="14"/>
      <c r="B19" s="135">
        <f t="shared" si="9"/>
        <v>5</v>
      </c>
      <c r="C19" s="156" t="str">
        <f t="shared" si="10"/>
        <v> Creamer</v>
      </c>
      <c r="D19" s="180"/>
      <c r="E19" s="179">
        <v>1.0</v>
      </c>
      <c r="K19" s="135">
        <f t="shared" si="11"/>
        <v>5</v>
      </c>
      <c r="L19" s="156" t="str">
        <f t="shared" si="12"/>
        <v> Cashman</v>
      </c>
      <c r="M19" s="180">
        <v>1.0</v>
      </c>
      <c r="N19" s="179"/>
      <c r="T19" s="132"/>
      <c r="U19" s="7"/>
    </row>
    <row r="20">
      <c r="A20" s="8"/>
      <c r="B20" s="129">
        <f t="shared" si="9"/>
        <v>6</v>
      </c>
      <c r="C20" s="156" t="str">
        <f t="shared" si="10"/>
        <v> Stolz</v>
      </c>
      <c r="D20" s="180">
        <v>1.0</v>
      </c>
      <c r="E20" s="179"/>
      <c r="K20" s="129">
        <f t="shared" si="11"/>
        <v>6</v>
      </c>
      <c r="L20" s="156" t="str">
        <f t="shared" si="12"/>
        <v> Israel</v>
      </c>
      <c r="M20" s="180"/>
      <c r="N20" s="179">
        <v>1.0</v>
      </c>
      <c r="T20" s="132"/>
      <c r="U20" s="7"/>
    </row>
    <row r="21">
      <c r="A21" s="14"/>
      <c r="B21" s="135">
        <f t="shared" si="9"/>
        <v>6</v>
      </c>
      <c r="C21" s="156" t="str">
        <f t="shared" si="10"/>
        <v> Creamer</v>
      </c>
      <c r="D21" s="180"/>
      <c r="E21" s="179">
        <v>1.0</v>
      </c>
      <c r="K21" s="135">
        <f t="shared" si="11"/>
        <v>6</v>
      </c>
      <c r="L21" s="156" t="str">
        <f t="shared" si="12"/>
        <v> Cashman</v>
      </c>
      <c r="M21" s="180"/>
      <c r="N21" s="179">
        <v>1.0</v>
      </c>
      <c r="T21" s="132"/>
      <c r="U21" s="7"/>
    </row>
    <row r="22">
      <c r="A22" s="8"/>
      <c r="B22" s="129">
        <f t="shared" si="9"/>
        <v>7</v>
      </c>
      <c r="C22" s="156" t="str">
        <f t="shared" si="10"/>
        <v> Stolz</v>
      </c>
      <c r="D22" s="180">
        <v>1.0</v>
      </c>
      <c r="E22" s="181"/>
      <c r="F22" s="136">
        <v>1.0</v>
      </c>
      <c r="K22" s="129">
        <f t="shared" si="11"/>
        <v>7</v>
      </c>
      <c r="L22" s="156" t="str">
        <f t="shared" si="12"/>
        <v> Israel</v>
      </c>
      <c r="M22" s="180">
        <v>1.0</v>
      </c>
      <c r="N22" s="181"/>
      <c r="T22" s="132"/>
      <c r="U22" s="7"/>
    </row>
    <row r="23">
      <c r="A23" s="14"/>
      <c r="B23" s="135">
        <f t="shared" si="9"/>
        <v>7</v>
      </c>
      <c r="C23" s="156" t="str">
        <f t="shared" si="10"/>
        <v> Creamer</v>
      </c>
      <c r="D23" s="180"/>
      <c r="E23" s="179">
        <v>1.0</v>
      </c>
      <c r="K23" s="135">
        <f t="shared" si="11"/>
        <v>7</v>
      </c>
      <c r="L23" s="156" t="str">
        <f t="shared" si="12"/>
        <v> Cashman</v>
      </c>
      <c r="M23" s="180"/>
      <c r="N23" s="179">
        <v>1.0</v>
      </c>
      <c r="T23" s="132"/>
      <c r="U23" s="7"/>
    </row>
    <row r="24">
      <c r="A24" s="8"/>
      <c r="B24" s="129">
        <f t="shared" si="9"/>
        <v>8</v>
      </c>
      <c r="C24" s="156" t="str">
        <f t="shared" si="10"/>
        <v> Stolz</v>
      </c>
      <c r="D24" s="180">
        <v>1.0</v>
      </c>
      <c r="E24" s="181"/>
      <c r="K24" s="129">
        <f t="shared" si="11"/>
        <v>8</v>
      </c>
      <c r="L24" s="156" t="str">
        <f t="shared" si="12"/>
        <v> Israel</v>
      </c>
      <c r="M24" s="180">
        <v>1.0</v>
      </c>
      <c r="N24" s="181"/>
      <c r="T24" s="132"/>
      <c r="U24" s="7"/>
    </row>
    <row r="25">
      <c r="A25" s="14"/>
      <c r="B25" s="135">
        <f t="shared" si="9"/>
        <v>8</v>
      </c>
      <c r="C25" s="156" t="str">
        <f t="shared" si="10"/>
        <v> Creamer</v>
      </c>
      <c r="D25" s="180">
        <v>1.0</v>
      </c>
      <c r="E25" s="181"/>
      <c r="K25" s="135">
        <f t="shared" si="11"/>
        <v>8</v>
      </c>
      <c r="L25" s="156" t="str">
        <f t="shared" si="12"/>
        <v> Cashman</v>
      </c>
      <c r="M25" s="180">
        <v>1.0</v>
      </c>
      <c r="N25" s="179"/>
      <c r="T25" s="132"/>
      <c r="U25" s="7"/>
    </row>
    <row r="26">
      <c r="A26" s="8"/>
      <c r="B26" s="129">
        <f t="shared" si="9"/>
        <v>9</v>
      </c>
      <c r="C26" s="156" t="str">
        <f t="shared" si="10"/>
        <v> Stolz</v>
      </c>
      <c r="D26" s="180">
        <v>1.0</v>
      </c>
      <c r="E26" s="181"/>
      <c r="K26" s="129">
        <f t="shared" si="11"/>
        <v>9</v>
      </c>
      <c r="L26" s="156" t="str">
        <f t="shared" si="12"/>
        <v> Israel</v>
      </c>
      <c r="M26" s="180">
        <v>1.0</v>
      </c>
      <c r="N26" s="181"/>
      <c r="T26" s="132"/>
      <c r="U26" s="7"/>
    </row>
    <row r="27">
      <c r="A27" s="14"/>
      <c r="B27" s="135">
        <f t="shared" si="9"/>
        <v>9</v>
      </c>
      <c r="C27" s="156" t="str">
        <f t="shared" si="10"/>
        <v> Creamer</v>
      </c>
      <c r="D27" s="180"/>
      <c r="E27" s="179">
        <v>1.0</v>
      </c>
      <c r="K27" s="135">
        <f t="shared" si="11"/>
        <v>9</v>
      </c>
      <c r="L27" s="156" t="str">
        <f t="shared" si="12"/>
        <v> Cashman</v>
      </c>
      <c r="M27" s="180">
        <v>1.0</v>
      </c>
      <c r="N27" s="181"/>
      <c r="T27" s="132"/>
      <c r="U27" s="7"/>
    </row>
    <row r="28">
      <c r="A28" s="8"/>
      <c r="B28" s="129">
        <f t="shared" si="9"/>
        <v>10</v>
      </c>
      <c r="C28" s="156" t="str">
        <f t="shared" si="10"/>
        <v> Stolz</v>
      </c>
      <c r="D28" s="180">
        <v>1.0</v>
      </c>
      <c r="E28" s="181"/>
      <c r="K28" s="129">
        <f t="shared" si="11"/>
        <v>10</v>
      </c>
      <c r="L28" s="156" t="str">
        <f t="shared" si="12"/>
        <v> Israel</v>
      </c>
      <c r="M28" s="180">
        <v>1.0</v>
      </c>
      <c r="N28" s="181"/>
      <c r="T28" s="132"/>
      <c r="U28" s="7"/>
    </row>
    <row r="29">
      <c r="A29" s="14"/>
      <c r="B29" s="135">
        <f t="shared" si="9"/>
        <v>10</v>
      </c>
      <c r="C29" s="156" t="str">
        <f t="shared" si="10"/>
        <v> Creamer</v>
      </c>
      <c r="D29" s="180"/>
      <c r="E29" s="179">
        <v>1.0</v>
      </c>
      <c r="K29" s="135">
        <f t="shared" si="11"/>
        <v>10</v>
      </c>
      <c r="L29" s="156" t="str">
        <f t="shared" si="12"/>
        <v> Cashman</v>
      </c>
      <c r="M29" s="180">
        <v>1.0</v>
      </c>
      <c r="N29" s="181"/>
      <c r="T29" s="132"/>
      <c r="U29" s="7"/>
    </row>
    <row r="30">
      <c r="A30" s="8"/>
      <c r="B30" s="129">
        <f t="shared" si="9"/>
        <v>11</v>
      </c>
      <c r="C30" s="156" t="str">
        <f t="shared" si="10"/>
        <v> Stolz</v>
      </c>
      <c r="D30" s="180"/>
      <c r="E30" s="179">
        <v>1.0</v>
      </c>
      <c r="K30" s="129">
        <f t="shared" si="11"/>
        <v>11</v>
      </c>
      <c r="L30" s="156" t="str">
        <f t="shared" si="12"/>
        <v> Israel</v>
      </c>
      <c r="M30" s="180">
        <v>1.0</v>
      </c>
      <c r="N30" s="181"/>
      <c r="T30" s="132"/>
      <c r="U30" s="7"/>
    </row>
    <row r="31">
      <c r="A31" s="14"/>
      <c r="B31" s="135">
        <f t="shared" si="9"/>
        <v>11</v>
      </c>
      <c r="C31" s="156" t="str">
        <f t="shared" si="10"/>
        <v> Creamer</v>
      </c>
      <c r="D31" s="180">
        <v>1.0</v>
      </c>
      <c r="E31" s="181"/>
      <c r="K31" s="135">
        <f t="shared" si="11"/>
        <v>11</v>
      </c>
      <c r="L31" s="156" t="str">
        <f t="shared" si="12"/>
        <v> Cashman</v>
      </c>
      <c r="M31" s="180">
        <v>1.0</v>
      </c>
      <c r="N31" s="179"/>
      <c r="O31" s="136">
        <v>1.0</v>
      </c>
      <c r="T31" s="132"/>
      <c r="U31" s="7"/>
    </row>
    <row r="32">
      <c r="A32" s="8"/>
      <c r="B32" s="129">
        <f t="shared" si="9"/>
        <v>12</v>
      </c>
      <c r="C32" s="156" t="str">
        <f t="shared" si="10"/>
        <v> Stolz</v>
      </c>
      <c r="D32" s="180"/>
      <c r="E32" s="179">
        <v>1.0</v>
      </c>
      <c r="K32" s="129">
        <f t="shared" si="11"/>
        <v>12</v>
      </c>
      <c r="L32" s="156" t="str">
        <f t="shared" si="12"/>
        <v> Israel</v>
      </c>
      <c r="M32" s="180">
        <v>1.0</v>
      </c>
      <c r="N32" s="181"/>
      <c r="T32" s="132"/>
      <c r="U32" s="7"/>
    </row>
    <row r="33">
      <c r="A33" s="14"/>
      <c r="B33" s="135">
        <f t="shared" si="9"/>
        <v>12</v>
      </c>
      <c r="C33" s="156" t="str">
        <f t="shared" si="10"/>
        <v> Creamer</v>
      </c>
      <c r="D33" s="180">
        <v>1.0</v>
      </c>
      <c r="E33" s="181"/>
      <c r="K33" s="135">
        <f t="shared" si="11"/>
        <v>12</v>
      </c>
      <c r="L33" s="156" t="str">
        <f t="shared" si="12"/>
        <v> Cashman</v>
      </c>
      <c r="M33" s="180">
        <v>1.0</v>
      </c>
      <c r="N33" s="179"/>
      <c r="T33" s="132"/>
      <c r="U33" s="7"/>
    </row>
    <row r="34">
      <c r="A34" s="8"/>
      <c r="B34" s="129">
        <f t="shared" si="9"/>
        <v>13</v>
      </c>
      <c r="C34" s="156" t="str">
        <f t="shared" si="10"/>
        <v> Stolz</v>
      </c>
      <c r="D34" s="180">
        <v>1.0</v>
      </c>
      <c r="E34" s="181"/>
      <c r="K34" s="129">
        <f t="shared" si="11"/>
        <v>13</v>
      </c>
      <c r="L34" s="156" t="str">
        <f t="shared" si="12"/>
        <v> Israel</v>
      </c>
      <c r="M34" s="180">
        <v>1.0</v>
      </c>
      <c r="N34" s="181"/>
      <c r="T34" s="132"/>
      <c r="U34" s="7"/>
    </row>
    <row r="35">
      <c r="A35" s="14"/>
      <c r="B35" s="135">
        <f t="shared" si="9"/>
        <v>13</v>
      </c>
      <c r="C35" s="156" t="str">
        <f t="shared" si="10"/>
        <v> Creamer</v>
      </c>
      <c r="D35" s="180"/>
      <c r="E35" s="179">
        <v>1.0</v>
      </c>
      <c r="K35" s="135">
        <f t="shared" si="11"/>
        <v>13</v>
      </c>
      <c r="L35" s="156" t="str">
        <f t="shared" si="12"/>
        <v> Cashman</v>
      </c>
      <c r="M35" s="180">
        <v>1.0</v>
      </c>
      <c r="N35" s="181"/>
      <c r="T35" s="132"/>
      <c r="U35" s="7"/>
    </row>
    <row r="36">
      <c r="A36" s="8"/>
      <c r="B36" s="129">
        <f t="shared" si="9"/>
        <v>14</v>
      </c>
      <c r="C36" s="156" t="str">
        <f t="shared" si="10"/>
        <v> Stolz</v>
      </c>
      <c r="D36" s="180">
        <v>1.0</v>
      </c>
      <c r="E36" s="181"/>
      <c r="K36" s="129">
        <f t="shared" si="11"/>
        <v>14</v>
      </c>
      <c r="L36" s="156" t="str">
        <f t="shared" si="12"/>
        <v> Israel</v>
      </c>
      <c r="M36" s="180">
        <v>1.0</v>
      </c>
      <c r="N36" s="181"/>
      <c r="T36" s="132"/>
      <c r="U36" s="7"/>
    </row>
    <row r="37">
      <c r="A37" s="14"/>
      <c r="B37" s="135">
        <f t="shared" si="9"/>
        <v>14</v>
      </c>
      <c r="C37" s="156" t="str">
        <f t="shared" si="10"/>
        <v> Creamer</v>
      </c>
      <c r="D37" s="180">
        <v>1.0</v>
      </c>
      <c r="E37" s="181"/>
      <c r="K37" s="135">
        <f t="shared" si="11"/>
        <v>14</v>
      </c>
      <c r="L37" s="156" t="str">
        <f t="shared" si="12"/>
        <v> Cashman</v>
      </c>
      <c r="M37" s="180">
        <v>1.0</v>
      </c>
      <c r="N37" s="181"/>
      <c r="T37" s="132"/>
      <c r="U37" s="7"/>
    </row>
    <row r="38">
      <c r="A38" s="8"/>
      <c r="B38" s="129">
        <f t="shared" si="9"/>
        <v>15</v>
      </c>
      <c r="C38" s="156" t="str">
        <f t="shared" si="10"/>
        <v> Stolz</v>
      </c>
      <c r="D38" s="180"/>
      <c r="E38" s="181"/>
      <c r="K38" s="129">
        <f t="shared" si="11"/>
        <v>15</v>
      </c>
      <c r="L38" s="156" t="str">
        <f t="shared" si="12"/>
        <v> Israel</v>
      </c>
      <c r="M38" s="180">
        <v>1.0</v>
      </c>
      <c r="N38" s="181"/>
      <c r="T38" s="132"/>
      <c r="U38" s="7"/>
    </row>
    <row r="39">
      <c r="A39" s="14"/>
      <c r="B39" s="135">
        <f t="shared" si="9"/>
        <v>15</v>
      </c>
      <c r="C39" s="156" t="str">
        <f t="shared" si="10"/>
        <v> Creamer</v>
      </c>
      <c r="D39" s="180"/>
      <c r="E39" s="179">
        <v>1.0</v>
      </c>
      <c r="K39" s="135">
        <f t="shared" si="11"/>
        <v>15</v>
      </c>
      <c r="L39" s="156" t="str">
        <f t="shared" si="12"/>
        <v> Cashman</v>
      </c>
      <c r="M39" s="180">
        <v>1.0</v>
      </c>
      <c r="N39" s="181"/>
      <c r="T39" s="132"/>
      <c r="U39" s="7"/>
    </row>
    <row r="40">
      <c r="A40" s="8"/>
      <c r="B40" s="129">
        <f t="shared" si="9"/>
        <v>16</v>
      </c>
      <c r="C40" s="156" t="str">
        <f t="shared" si="10"/>
        <v> Stolz</v>
      </c>
      <c r="D40" s="180"/>
      <c r="E40" s="179"/>
      <c r="K40" s="129">
        <f t="shared" si="11"/>
        <v>16</v>
      </c>
      <c r="L40" s="156" t="str">
        <f t="shared" si="12"/>
        <v> Israel</v>
      </c>
      <c r="M40" s="180"/>
      <c r="N40" s="181"/>
      <c r="T40" s="132"/>
      <c r="U40" s="7"/>
    </row>
    <row r="41">
      <c r="A41" s="14"/>
      <c r="B41" s="135">
        <f t="shared" si="9"/>
        <v>16</v>
      </c>
      <c r="C41" s="156" t="str">
        <f t="shared" si="10"/>
        <v> Creamer</v>
      </c>
      <c r="D41" s="180"/>
      <c r="E41" s="181"/>
      <c r="K41" s="135">
        <f t="shared" si="11"/>
        <v>16</v>
      </c>
      <c r="L41" s="156" t="str">
        <f t="shared" si="12"/>
        <v> Cashman</v>
      </c>
      <c r="M41" s="178"/>
      <c r="N41" s="179"/>
      <c r="T41" s="132"/>
      <c r="U41" s="7"/>
    </row>
    <row r="42">
      <c r="A42" s="8"/>
      <c r="B42" s="129">
        <f t="shared" si="9"/>
        <v>17</v>
      </c>
      <c r="C42" s="156" t="str">
        <f t="shared" si="10"/>
        <v> Stolz</v>
      </c>
      <c r="D42" s="180"/>
      <c r="E42" s="181"/>
      <c r="K42" s="129">
        <f t="shared" si="11"/>
        <v>17</v>
      </c>
      <c r="L42" s="156" t="str">
        <f t="shared" si="12"/>
        <v> Israel</v>
      </c>
      <c r="M42" s="180"/>
      <c r="N42" s="181"/>
      <c r="T42" s="132"/>
      <c r="U42" s="7"/>
    </row>
    <row r="43">
      <c r="A43" s="14"/>
      <c r="B43" s="135">
        <f t="shared" si="9"/>
        <v>17</v>
      </c>
      <c r="C43" s="156" t="str">
        <f t="shared" si="10"/>
        <v> Creamer</v>
      </c>
      <c r="D43" s="178"/>
      <c r="E43" s="179"/>
      <c r="K43" s="135">
        <f t="shared" si="11"/>
        <v>17</v>
      </c>
      <c r="L43" s="156" t="str">
        <f t="shared" si="12"/>
        <v> Cashman</v>
      </c>
      <c r="M43" s="180"/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Stolz</v>
      </c>
      <c r="D44" s="180"/>
      <c r="E44" s="181"/>
      <c r="K44" s="129">
        <f t="shared" si="11"/>
        <v>18</v>
      </c>
      <c r="L44" s="156" t="str">
        <f t="shared" si="12"/>
        <v> Israel</v>
      </c>
      <c r="M44" s="180"/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Creamer</v>
      </c>
      <c r="D45" s="180"/>
      <c r="E45" s="181"/>
      <c r="K45" s="129">
        <f t="shared" si="11"/>
        <v>18</v>
      </c>
      <c r="L45" s="156" t="str">
        <f t="shared" si="12"/>
        <v> Cashman</v>
      </c>
      <c r="M45" s="180"/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Stolz</v>
      </c>
      <c r="D46" s="180"/>
      <c r="E46" s="181"/>
      <c r="K46" s="135">
        <f t="shared" si="11"/>
        <v>19</v>
      </c>
      <c r="L46" s="156" t="str">
        <f t="shared" si="12"/>
        <v> Israel</v>
      </c>
      <c r="M46" s="180"/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Creamer</v>
      </c>
      <c r="D47" s="180"/>
      <c r="E47" s="181"/>
      <c r="K47" s="129">
        <f t="shared" si="11"/>
        <v>19</v>
      </c>
      <c r="L47" s="156" t="str">
        <f t="shared" si="12"/>
        <v> Cashman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Stolz</v>
      </c>
      <c r="D48" s="180"/>
      <c r="E48" s="181"/>
      <c r="K48" s="135">
        <f t="shared" si="11"/>
        <v>20</v>
      </c>
      <c r="L48" s="156" t="str">
        <f t="shared" si="12"/>
        <v> Israel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Creamer</v>
      </c>
      <c r="D49" s="178"/>
      <c r="E49" s="179"/>
      <c r="K49" s="129">
        <f t="shared" si="11"/>
        <v>20</v>
      </c>
      <c r="L49" s="156" t="str">
        <f t="shared" si="12"/>
        <v> Cashman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Stolz</v>
      </c>
      <c r="D50" s="180"/>
      <c r="E50" s="181"/>
      <c r="K50" s="129">
        <f t="shared" si="11"/>
        <v>21</v>
      </c>
      <c r="L50" s="156" t="str">
        <f t="shared" si="12"/>
        <v> Israel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Creamer</v>
      </c>
      <c r="D51" s="180"/>
      <c r="E51" s="181"/>
      <c r="K51" s="135">
        <f t="shared" si="11"/>
        <v>21</v>
      </c>
      <c r="L51" s="156" t="str">
        <f t="shared" si="12"/>
        <v> Cashman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Stolz</v>
      </c>
      <c r="D52" s="178"/>
      <c r="E52" s="181"/>
      <c r="K52" s="129">
        <f t="shared" si="11"/>
        <v>22</v>
      </c>
      <c r="L52" s="156" t="str">
        <f t="shared" si="12"/>
        <v> Israel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Creamer</v>
      </c>
      <c r="D53" s="178"/>
      <c r="E53" s="181"/>
      <c r="K53" s="135">
        <f t="shared" si="11"/>
        <v>22</v>
      </c>
      <c r="L53" s="156" t="str">
        <f t="shared" si="12"/>
        <v> Cashman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Stolz</v>
      </c>
      <c r="D54" s="178"/>
      <c r="E54" s="181"/>
      <c r="K54" s="129">
        <f t="shared" si="11"/>
        <v>23</v>
      </c>
      <c r="L54" s="156" t="str">
        <f t="shared" si="12"/>
        <v> Israel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Creamer</v>
      </c>
      <c r="D55" s="178"/>
      <c r="E55" s="181"/>
      <c r="K55" s="135">
        <f t="shared" si="11"/>
        <v>23</v>
      </c>
      <c r="L55" s="156" t="str">
        <f t="shared" si="12"/>
        <v> Cashman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Stolz</v>
      </c>
      <c r="D56" s="178"/>
      <c r="E56" s="181"/>
      <c r="K56" s="129">
        <f t="shared" si="11"/>
        <v>24</v>
      </c>
      <c r="L56" s="156" t="str">
        <f t="shared" si="12"/>
        <v> Israel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Creamer</v>
      </c>
      <c r="D57" s="178"/>
      <c r="E57" s="181"/>
      <c r="K57" s="129">
        <f t="shared" si="11"/>
        <v>24</v>
      </c>
      <c r="L57" s="156" t="str">
        <f t="shared" si="12"/>
        <v> Cashman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Stolz</v>
      </c>
      <c r="D58" s="178"/>
      <c r="E58" s="181"/>
      <c r="K58" s="135">
        <f t="shared" si="11"/>
        <v>25</v>
      </c>
      <c r="L58" s="156" t="str">
        <f t="shared" si="12"/>
        <v> Israel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Creamer</v>
      </c>
      <c r="D59" s="178"/>
      <c r="E59" s="181"/>
      <c r="K59" s="129">
        <f t="shared" si="11"/>
        <v>25</v>
      </c>
      <c r="L59" s="156" t="str">
        <f t="shared" si="12"/>
        <v> Cashman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Stolz</v>
      </c>
      <c r="D60" s="178"/>
      <c r="E60" s="181"/>
      <c r="K60" s="135">
        <f t="shared" si="11"/>
        <v>26</v>
      </c>
      <c r="L60" s="156" t="str">
        <f t="shared" si="12"/>
        <v> Israel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Creamer</v>
      </c>
      <c r="D61" s="178"/>
      <c r="E61" s="181"/>
      <c r="K61" s="129">
        <f t="shared" si="11"/>
        <v>26</v>
      </c>
      <c r="L61" s="156" t="str">
        <f t="shared" si="12"/>
        <v> Cashman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Stolz</v>
      </c>
      <c r="D62" s="178"/>
      <c r="E62" s="181"/>
      <c r="K62" s="135">
        <f t="shared" si="11"/>
        <v>27</v>
      </c>
      <c r="L62" s="156" t="str">
        <f t="shared" si="12"/>
        <v> Israel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Creamer</v>
      </c>
      <c r="D63" s="178"/>
      <c r="E63" s="181"/>
      <c r="K63" s="129">
        <f t="shared" si="11"/>
        <v>27</v>
      </c>
      <c r="L63" s="156" t="str">
        <f t="shared" si="12"/>
        <v> Cashman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Stolz</v>
      </c>
      <c r="D64" s="178"/>
      <c r="E64" s="181"/>
      <c r="K64" s="135">
        <f t="shared" si="11"/>
        <v>28</v>
      </c>
      <c r="L64" s="156" t="str">
        <f t="shared" si="12"/>
        <v> Israel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Creamer</v>
      </c>
      <c r="D65" s="178"/>
      <c r="E65" s="181"/>
      <c r="K65" s="129">
        <f t="shared" si="11"/>
        <v>28</v>
      </c>
      <c r="L65" s="156" t="str">
        <f t="shared" si="12"/>
        <v> Cashman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Stolz</v>
      </c>
      <c r="D66" s="178"/>
      <c r="E66" s="181"/>
      <c r="K66" s="135">
        <f t="shared" si="11"/>
        <v>29</v>
      </c>
      <c r="L66" s="156" t="str">
        <f t="shared" si="12"/>
        <v> Israel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Creamer</v>
      </c>
      <c r="D67" s="178"/>
      <c r="E67" s="181"/>
      <c r="K67" s="135">
        <f t="shared" si="11"/>
        <v>29</v>
      </c>
      <c r="L67" s="156" t="str">
        <f t="shared" si="12"/>
        <v> Cashman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Stolz</v>
      </c>
      <c r="D68" s="178"/>
      <c r="E68" s="181"/>
      <c r="K68" s="135">
        <f t="shared" si="11"/>
        <v>30</v>
      </c>
      <c r="L68" s="156" t="str">
        <f t="shared" si="12"/>
        <v> Israel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Creamer</v>
      </c>
      <c r="D69" s="178"/>
      <c r="E69" s="181"/>
      <c r="K69" s="135">
        <f t="shared" si="11"/>
        <v>30</v>
      </c>
      <c r="L69" s="156" t="str">
        <f t="shared" si="12"/>
        <v> Cashman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Stolz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Israel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Creamer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Cashman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Stolz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Israel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Creamer</v>
      </c>
      <c r="D73" s="178"/>
      <c r="E73" s="181"/>
      <c r="K73" s="129">
        <v>32.0</v>
      </c>
      <c r="L73" s="156" t="str">
        <f t="shared" si="12"/>
        <v> Cashman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Stolz</v>
      </c>
      <c r="D74" s="192"/>
      <c r="E74" s="181"/>
      <c r="K74" s="129">
        <v>33.0</v>
      </c>
      <c r="L74" s="156" t="str">
        <f t="shared" si="12"/>
        <v> Israel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Creamer</v>
      </c>
      <c r="D75" s="178"/>
      <c r="E75" s="181"/>
      <c r="K75" s="129">
        <v>33.0</v>
      </c>
      <c r="L75" s="156" t="str">
        <f t="shared" si="12"/>
        <v> Cashman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Stolz</v>
      </c>
      <c r="D76" s="178"/>
      <c r="E76" s="181"/>
      <c r="K76" s="129">
        <v>34.0</v>
      </c>
      <c r="L76" s="156" t="str">
        <f t="shared" si="12"/>
        <v> Israel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Creamer</v>
      </c>
      <c r="D77" s="178"/>
      <c r="E77" s="181"/>
      <c r="K77" s="129">
        <v>34.0</v>
      </c>
      <c r="L77" s="156" t="str">
        <f t="shared" si="12"/>
        <v> Cashman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Stolz</v>
      </c>
      <c r="D78" s="178"/>
      <c r="E78" s="181"/>
      <c r="K78" s="129">
        <v>35.0</v>
      </c>
      <c r="L78" s="156" t="str">
        <f t="shared" si="12"/>
        <v> Israel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Creamer</v>
      </c>
      <c r="D79" s="178"/>
      <c r="E79" s="181"/>
      <c r="K79" s="129">
        <v>35.0</v>
      </c>
      <c r="L79" s="156" t="str">
        <f t="shared" si="12"/>
        <v> Cashman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Stolz</v>
      </c>
      <c r="D80" s="178"/>
      <c r="E80" s="181"/>
      <c r="K80" s="129">
        <v>36.0</v>
      </c>
      <c r="L80" s="156" t="str">
        <f t="shared" si="12"/>
        <v> Israel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Creamer</v>
      </c>
      <c r="D81" s="178"/>
      <c r="E81" s="181"/>
      <c r="K81" s="129">
        <v>36.0</v>
      </c>
      <c r="L81" s="156" t="str">
        <f t="shared" si="12"/>
        <v> Cashman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Stolz</v>
      </c>
      <c r="D82" s="178"/>
      <c r="E82" s="181"/>
      <c r="K82" s="129">
        <v>37.0</v>
      </c>
      <c r="L82" s="156" t="str">
        <f t="shared" si="12"/>
        <v> Israel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Creamer</v>
      </c>
      <c r="D83" s="178"/>
      <c r="E83" s="181"/>
      <c r="K83" s="129">
        <v>37.0</v>
      </c>
      <c r="L83" s="156" t="str">
        <f t="shared" si="12"/>
        <v> Cashman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Stolz</v>
      </c>
      <c r="D84" s="178"/>
      <c r="E84" s="181"/>
      <c r="K84" s="129">
        <v>38.0</v>
      </c>
      <c r="L84" s="156" t="str">
        <f t="shared" si="12"/>
        <v> Israel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Creamer</v>
      </c>
      <c r="D85" s="178"/>
      <c r="E85" s="181"/>
      <c r="K85" s="129">
        <v>38.0</v>
      </c>
      <c r="L85" s="156" t="str">
        <f t="shared" si="12"/>
        <v> Cashman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Stolz</v>
      </c>
      <c r="D86" s="178"/>
      <c r="E86" s="181"/>
      <c r="K86" s="129">
        <v>39.0</v>
      </c>
      <c r="L86" s="156" t="str">
        <f t="shared" si="12"/>
        <v> Israel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Creamer</v>
      </c>
      <c r="D87" s="178"/>
      <c r="E87" s="181"/>
      <c r="K87" s="129">
        <v>39.0</v>
      </c>
      <c r="L87" s="156" t="str">
        <f t="shared" si="12"/>
        <v> Cashman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Stolz</v>
      </c>
      <c r="D88" s="178"/>
      <c r="E88" s="181"/>
      <c r="K88" s="129">
        <v>40.0</v>
      </c>
      <c r="L88" s="156" t="str">
        <f t="shared" si="12"/>
        <v> Israel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Creamer</v>
      </c>
      <c r="D89" s="178"/>
      <c r="E89" s="181"/>
      <c r="K89" s="129">
        <v>40.0</v>
      </c>
      <c r="L89" s="156" t="str">
        <f t="shared" si="12"/>
        <v> Cashman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0.13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109</v>
      </c>
      <c r="D3" s="189">
        <f t="shared" ref="D3:J3" si="1">SUMPRODUCT(D10:D90,MOD(ROW(D10:D90),2)=0)</f>
        <v>10</v>
      </c>
      <c r="E3" s="189">
        <f t="shared" si="1"/>
        <v>4</v>
      </c>
      <c r="F3" s="189">
        <f t="shared" si="1"/>
        <v>0</v>
      </c>
      <c r="G3" s="189">
        <f t="shared" si="1"/>
        <v>0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133</v>
      </c>
      <c r="M3" s="189">
        <f t="shared" ref="M3:S3" si="2">SUMPRODUCT(M10:M90,MOD(ROW(M10:M90),2)=0)</f>
        <v>8</v>
      </c>
      <c r="N3" s="189">
        <f t="shared" si="2"/>
        <v>4</v>
      </c>
      <c r="O3" s="189">
        <f t="shared" si="2"/>
        <v>0</v>
      </c>
      <c r="P3" s="189">
        <f t="shared" si="2"/>
        <v>2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87</v>
      </c>
      <c r="D4" s="191">
        <f t="shared" ref="D4:J4" si="3">SUMPRODUCT(D10:D90,MOD(ROW(D10:D90),2))</f>
        <v>10</v>
      </c>
      <c r="E4" s="191">
        <f t="shared" si="3"/>
        <v>4</v>
      </c>
      <c r="F4" s="191">
        <f t="shared" si="3"/>
        <v>0</v>
      </c>
      <c r="G4" s="191">
        <f t="shared" si="3"/>
        <v>1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116</v>
      </c>
      <c r="M4" s="191">
        <f t="shared" ref="M4:S4" si="4">SUMPRODUCT(M10:M90,MOD(ROW(M10:M90),2))</f>
        <v>6</v>
      </c>
      <c r="N4" s="191">
        <f t="shared" si="4"/>
        <v>6</v>
      </c>
      <c r="O4" s="191">
        <f t="shared" si="4"/>
        <v>0</v>
      </c>
      <c r="P4" s="191">
        <f t="shared" si="4"/>
        <v>0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Cestero %</v>
      </c>
      <c r="D5" s="137">
        <f t="shared" ref="D5:D6" si="6">IFERROR((E3/(E3+D3)),0)</f>
        <v>0.2857142857</v>
      </c>
      <c r="K5" s="135"/>
      <c r="L5" s="136" t="str">
        <f t="shared" ref="L5:L6" si="7">IFERROR((L10 &amp;" %"), "")</f>
        <v> Reeves %</v>
      </c>
      <c r="M5" s="137">
        <f t="shared" ref="M5:M6" si="8">IFERROR((N3/(N3+M3)),0)</f>
        <v>0.3333333333</v>
      </c>
      <c r="S5" s="132"/>
      <c r="T5" s="132"/>
      <c r="U5" s="7"/>
    </row>
    <row r="6">
      <c r="A6" s="14"/>
      <c r="B6" s="138"/>
      <c r="C6" s="139" t="str">
        <f t="shared" si="5"/>
        <v> Messina %</v>
      </c>
      <c r="D6" s="140">
        <f t="shared" si="6"/>
        <v>0.2857142857</v>
      </c>
      <c r="E6" s="141"/>
      <c r="F6" s="141"/>
      <c r="G6" s="141"/>
      <c r="H6" s="141"/>
      <c r="I6" s="141"/>
      <c r="J6" s="141"/>
      <c r="K6" s="138"/>
      <c r="L6" s="139" t="str">
        <f t="shared" si="7"/>
        <v> Hamoui %</v>
      </c>
      <c r="M6" s="142">
        <f t="shared" si="8"/>
        <v>0.5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Cestero")</f>
        <v> Cestero</v>
      </c>
      <c r="D10" s="180">
        <v>1.0</v>
      </c>
      <c r="E10" s="179"/>
      <c r="F10" s="136"/>
      <c r="G10" s="136"/>
      <c r="K10" s="129">
        <v>1.0</v>
      </c>
      <c r="L10" s="136" t="str">
        <f>IFERROR(__xludf.DUMMYFUNCTION("REGEXEXTRACT(L3, ""( .*)+"")")," Reeves")</f>
        <v> Reeves</v>
      </c>
      <c r="M10" s="180"/>
      <c r="N10" s="179">
        <v>1.0</v>
      </c>
      <c r="P10" s="186"/>
      <c r="T10" s="132"/>
      <c r="U10" s="7"/>
    </row>
    <row r="11">
      <c r="A11" s="8"/>
      <c r="B11" s="129">
        <v>1.0</v>
      </c>
      <c r="C11" s="136" t="str">
        <f>IFERROR(__xludf.DUMMYFUNCTION("REGEXEXTRACT(C4, ""( .*)+"")")," Messina")</f>
        <v> Messina</v>
      </c>
      <c r="D11" s="180">
        <v>1.0</v>
      </c>
      <c r="E11" s="179"/>
      <c r="G11" s="136">
        <v>1.0</v>
      </c>
      <c r="K11" s="129">
        <v>1.0</v>
      </c>
      <c r="L11" s="136" t="str">
        <f>IFERROR(__xludf.DUMMYFUNCTION("REGEXEXTRACT(L4, ""( .*)+"")")," Hamoui")</f>
        <v> Hamoui</v>
      </c>
      <c r="M11" s="180"/>
      <c r="N11" s="179">
        <v>1.0</v>
      </c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Cestero</v>
      </c>
      <c r="D12" s="180"/>
      <c r="E12" s="179">
        <v>1.0</v>
      </c>
      <c r="K12" s="129">
        <f t="shared" ref="K12:K69" si="11">K10+1</f>
        <v>2</v>
      </c>
      <c r="L12" s="156" t="str">
        <f t="shared" ref="L12:L89" si="12">L10</f>
        <v> Reeves</v>
      </c>
      <c r="M12" s="180">
        <v>1.0</v>
      </c>
      <c r="N12" s="179"/>
      <c r="T12" s="132"/>
      <c r="U12" s="7"/>
    </row>
    <row r="13">
      <c r="A13" s="14"/>
      <c r="B13" s="135">
        <f t="shared" si="9"/>
        <v>2</v>
      </c>
      <c r="C13" s="156" t="str">
        <f t="shared" si="10"/>
        <v> Messina</v>
      </c>
      <c r="D13" s="180"/>
      <c r="E13" s="179">
        <v>1.0</v>
      </c>
      <c r="K13" s="135">
        <f t="shared" si="11"/>
        <v>2</v>
      </c>
      <c r="L13" s="156" t="str">
        <f t="shared" si="12"/>
        <v> Hamoui</v>
      </c>
      <c r="M13" s="180">
        <v>1.0</v>
      </c>
      <c r="N13" s="181"/>
      <c r="T13" s="132"/>
      <c r="U13" s="7"/>
    </row>
    <row r="14">
      <c r="A14" s="8"/>
      <c r="B14" s="129">
        <f t="shared" si="9"/>
        <v>3</v>
      </c>
      <c r="C14" s="156" t="str">
        <f t="shared" si="10"/>
        <v> Cestero</v>
      </c>
      <c r="D14" s="180">
        <v>1.0</v>
      </c>
      <c r="E14" s="179"/>
      <c r="K14" s="129">
        <f t="shared" si="11"/>
        <v>3</v>
      </c>
      <c r="L14" s="156" t="str">
        <f t="shared" si="12"/>
        <v> Reeves</v>
      </c>
      <c r="M14" s="180">
        <v>1.0</v>
      </c>
      <c r="N14" s="181"/>
      <c r="T14" s="132"/>
      <c r="U14" s="7"/>
    </row>
    <row r="15">
      <c r="A15" s="14"/>
      <c r="B15" s="135">
        <f t="shared" si="9"/>
        <v>3</v>
      </c>
      <c r="C15" s="156" t="str">
        <f t="shared" si="10"/>
        <v> Messina</v>
      </c>
      <c r="D15" s="180">
        <v>1.0</v>
      </c>
      <c r="E15" s="179"/>
      <c r="K15" s="135">
        <f t="shared" si="11"/>
        <v>3</v>
      </c>
      <c r="L15" s="156" t="str">
        <f t="shared" si="12"/>
        <v> Hamoui</v>
      </c>
      <c r="M15" s="180">
        <v>1.0</v>
      </c>
      <c r="N15" s="181"/>
      <c r="T15" s="132"/>
      <c r="U15" s="7"/>
    </row>
    <row r="16">
      <c r="A16" s="8"/>
      <c r="B16" s="129">
        <f t="shared" si="9"/>
        <v>4</v>
      </c>
      <c r="C16" s="156" t="str">
        <f t="shared" si="10"/>
        <v> Cestero</v>
      </c>
      <c r="D16" s="180">
        <v>1.0</v>
      </c>
      <c r="E16" s="181"/>
      <c r="K16" s="129">
        <f t="shared" si="11"/>
        <v>4</v>
      </c>
      <c r="L16" s="156" t="str">
        <f t="shared" si="12"/>
        <v> Reeves</v>
      </c>
      <c r="M16" s="180">
        <v>1.0</v>
      </c>
      <c r="N16" s="181"/>
      <c r="T16" s="132"/>
      <c r="U16" s="7"/>
    </row>
    <row r="17">
      <c r="A17" s="14"/>
      <c r="B17" s="135">
        <f t="shared" si="9"/>
        <v>4</v>
      </c>
      <c r="C17" s="156" t="str">
        <f t="shared" si="10"/>
        <v> Messina</v>
      </c>
      <c r="D17" s="180">
        <v>1.0</v>
      </c>
      <c r="E17" s="179"/>
      <c r="K17" s="135">
        <f t="shared" si="11"/>
        <v>4</v>
      </c>
      <c r="L17" s="156" t="str">
        <f t="shared" si="12"/>
        <v> Hamoui</v>
      </c>
      <c r="M17" s="178"/>
      <c r="N17" s="179">
        <v>1.0</v>
      </c>
      <c r="T17" s="132"/>
      <c r="U17" s="7"/>
    </row>
    <row r="18">
      <c r="A18" s="8"/>
      <c r="B18" s="129">
        <f t="shared" si="9"/>
        <v>5</v>
      </c>
      <c r="C18" s="156" t="str">
        <f t="shared" si="10"/>
        <v> Cestero</v>
      </c>
      <c r="D18" s="180"/>
      <c r="E18" s="179">
        <v>1.0</v>
      </c>
      <c r="K18" s="129">
        <f t="shared" si="11"/>
        <v>5</v>
      </c>
      <c r="L18" s="156" t="str">
        <f t="shared" si="12"/>
        <v> Reeves</v>
      </c>
      <c r="M18" s="180">
        <v>1.0</v>
      </c>
      <c r="N18" s="181"/>
      <c r="T18" s="132"/>
      <c r="U18" s="7"/>
    </row>
    <row r="19">
      <c r="A19" s="14"/>
      <c r="B19" s="135">
        <f t="shared" si="9"/>
        <v>5</v>
      </c>
      <c r="C19" s="156" t="str">
        <f t="shared" si="10"/>
        <v> Messina</v>
      </c>
      <c r="D19" s="180"/>
      <c r="E19" s="179">
        <v>1.0</v>
      </c>
      <c r="K19" s="135">
        <f t="shared" si="11"/>
        <v>5</v>
      </c>
      <c r="L19" s="156" t="str">
        <f t="shared" si="12"/>
        <v> Hamoui</v>
      </c>
      <c r="M19" s="178"/>
      <c r="N19" s="179">
        <v>1.0</v>
      </c>
      <c r="T19" s="132"/>
      <c r="U19" s="7"/>
    </row>
    <row r="20">
      <c r="A20" s="8"/>
      <c r="B20" s="129">
        <f t="shared" si="9"/>
        <v>6</v>
      </c>
      <c r="C20" s="156" t="str">
        <f t="shared" si="10"/>
        <v> Cestero</v>
      </c>
      <c r="D20" s="180">
        <v>1.0</v>
      </c>
      <c r="E20" s="179"/>
      <c r="K20" s="129">
        <f t="shared" si="11"/>
        <v>6</v>
      </c>
      <c r="L20" s="156" t="str">
        <f t="shared" si="12"/>
        <v> Reeves</v>
      </c>
      <c r="M20" s="180">
        <v>1.0</v>
      </c>
      <c r="N20" s="181"/>
      <c r="P20" s="136">
        <v>1.0</v>
      </c>
      <c r="T20" s="132"/>
      <c r="U20" s="7"/>
    </row>
    <row r="21">
      <c r="A21" s="14"/>
      <c r="B21" s="135">
        <f t="shared" si="9"/>
        <v>6</v>
      </c>
      <c r="C21" s="156" t="str">
        <f t="shared" si="10"/>
        <v> Messina</v>
      </c>
      <c r="D21" s="180">
        <v>1.0</v>
      </c>
      <c r="E21" s="181"/>
      <c r="K21" s="135">
        <f t="shared" si="11"/>
        <v>6</v>
      </c>
      <c r="L21" s="156" t="str">
        <f t="shared" si="12"/>
        <v> Hamoui</v>
      </c>
      <c r="M21" s="180">
        <v>1.0</v>
      </c>
      <c r="N21" s="181"/>
      <c r="T21" s="132"/>
      <c r="U21" s="7"/>
    </row>
    <row r="22">
      <c r="A22" s="8"/>
      <c r="B22" s="129">
        <f t="shared" si="9"/>
        <v>7</v>
      </c>
      <c r="C22" s="156" t="str">
        <f t="shared" si="10"/>
        <v> Cestero</v>
      </c>
      <c r="D22" s="180"/>
      <c r="E22" s="179">
        <v>1.0</v>
      </c>
      <c r="K22" s="129">
        <f t="shared" si="11"/>
        <v>7</v>
      </c>
      <c r="L22" s="156" t="str">
        <f t="shared" si="12"/>
        <v> Reeves</v>
      </c>
      <c r="M22" s="180">
        <v>1.0</v>
      </c>
      <c r="N22" s="181"/>
      <c r="T22" s="132"/>
      <c r="U22" s="7"/>
    </row>
    <row r="23">
      <c r="A23" s="14"/>
      <c r="B23" s="135">
        <f t="shared" si="9"/>
        <v>7</v>
      </c>
      <c r="C23" s="156" t="str">
        <f t="shared" si="10"/>
        <v> Messina</v>
      </c>
      <c r="D23" s="180"/>
      <c r="E23" s="179">
        <v>1.0</v>
      </c>
      <c r="K23" s="135">
        <f t="shared" si="11"/>
        <v>7</v>
      </c>
      <c r="L23" s="156" t="str">
        <f t="shared" si="12"/>
        <v> Hamoui</v>
      </c>
      <c r="M23" s="180">
        <v>1.0</v>
      </c>
      <c r="N23" s="181"/>
      <c r="T23" s="132"/>
      <c r="U23" s="7"/>
    </row>
    <row r="24">
      <c r="A24" s="8"/>
      <c r="B24" s="129">
        <f t="shared" si="9"/>
        <v>8</v>
      </c>
      <c r="C24" s="156" t="str">
        <f t="shared" si="10"/>
        <v> Cestero</v>
      </c>
      <c r="D24" s="180"/>
      <c r="E24" s="179">
        <v>1.0</v>
      </c>
      <c r="K24" s="129">
        <f t="shared" si="11"/>
        <v>8</v>
      </c>
      <c r="L24" s="156" t="str">
        <f t="shared" si="12"/>
        <v> Reeves</v>
      </c>
      <c r="M24" s="180">
        <v>1.0</v>
      </c>
      <c r="N24" s="181"/>
      <c r="T24" s="132"/>
      <c r="U24" s="7"/>
    </row>
    <row r="25">
      <c r="A25" s="14"/>
      <c r="B25" s="135">
        <f t="shared" si="9"/>
        <v>8</v>
      </c>
      <c r="C25" s="156" t="str">
        <f t="shared" si="10"/>
        <v> Messina</v>
      </c>
      <c r="D25" s="180"/>
      <c r="E25" s="179">
        <v>1.0</v>
      </c>
      <c r="K25" s="135">
        <f t="shared" si="11"/>
        <v>8</v>
      </c>
      <c r="L25" s="156" t="str">
        <f t="shared" si="12"/>
        <v> Hamoui</v>
      </c>
      <c r="M25" s="178"/>
      <c r="N25" s="179">
        <v>1.0</v>
      </c>
      <c r="T25" s="132"/>
      <c r="U25" s="7"/>
    </row>
    <row r="26">
      <c r="A26" s="8"/>
      <c r="B26" s="129">
        <f t="shared" si="9"/>
        <v>9</v>
      </c>
      <c r="C26" s="156" t="str">
        <f t="shared" si="10"/>
        <v> Cestero</v>
      </c>
      <c r="D26" s="180">
        <v>1.0</v>
      </c>
      <c r="E26" s="181"/>
      <c r="K26" s="129">
        <f t="shared" si="11"/>
        <v>9</v>
      </c>
      <c r="L26" s="156" t="str">
        <f t="shared" si="12"/>
        <v> Reeves</v>
      </c>
      <c r="M26" s="180"/>
      <c r="N26" s="179">
        <v>1.0</v>
      </c>
      <c r="T26" s="132"/>
      <c r="U26" s="7"/>
    </row>
    <row r="27">
      <c r="A27" s="14"/>
      <c r="B27" s="135">
        <f t="shared" si="9"/>
        <v>9</v>
      </c>
      <c r="C27" s="156" t="str">
        <f t="shared" si="10"/>
        <v> Messina</v>
      </c>
      <c r="D27" s="180">
        <v>1.0</v>
      </c>
      <c r="E27" s="181"/>
      <c r="K27" s="135">
        <f t="shared" si="11"/>
        <v>9</v>
      </c>
      <c r="L27" s="156" t="str">
        <f t="shared" si="12"/>
        <v> Hamoui</v>
      </c>
      <c r="M27" s="180"/>
      <c r="N27" s="179">
        <v>1.0</v>
      </c>
      <c r="T27" s="132"/>
      <c r="U27" s="7"/>
    </row>
    <row r="28">
      <c r="A28" s="8"/>
      <c r="B28" s="129">
        <f t="shared" si="9"/>
        <v>10</v>
      </c>
      <c r="C28" s="156" t="str">
        <f t="shared" si="10"/>
        <v> Cestero</v>
      </c>
      <c r="D28" s="180">
        <v>1.0</v>
      </c>
      <c r="E28" s="181"/>
      <c r="K28" s="129">
        <f t="shared" si="11"/>
        <v>10</v>
      </c>
      <c r="L28" s="156" t="str">
        <f t="shared" si="12"/>
        <v> Reeves</v>
      </c>
      <c r="M28" s="180"/>
      <c r="N28" s="179">
        <v>1.0</v>
      </c>
      <c r="T28" s="132"/>
      <c r="U28" s="7"/>
    </row>
    <row r="29">
      <c r="A29" s="14"/>
      <c r="B29" s="135">
        <f t="shared" si="9"/>
        <v>10</v>
      </c>
      <c r="C29" s="156" t="str">
        <f t="shared" si="10"/>
        <v> Messina</v>
      </c>
      <c r="D29" s="180">
        <v>1.0</v>
      </c>
      <c r="E29" s="181"/>
      <c r="K29" s="135">
        <f t="shared" si="11"/>
        <v>10</v>
      </c>
      <c r="L29" s="156" t="str">
        <f t="shared" si="12"/>
        <v> Hamoui</v>
      </c>
      <c r="M29" s="180">
        <v>1.0</v>
      </c>
      <c r="N29" s="181"/>
      <c r="T29" s="132"/>
      <c r="U29" s="7"/>
    </row>
    <row r="30">
      <c r="A30" s="8"/>
      <c r="B30" s="129">
        <f t="shared" si="9"/>
        <v>11</v>
      </c>
      <c r="C30" s="156" t="str">
        <f t="shared" si="10"/>
        <v> Cestero</v>
      </c>
      <c r="D30" s="180">
        <v>1.0</v>
      </c>
      <c r="E30" s="181"/>
      <c r="K30" s="129">
        <f t="shared" si="11"/>
        <v>11</v>
      </c>
      <c r="L30" s="156" t="str">
        <f t="shared" si="12"/>
        <v> Reeves</v>
      </c>
      <c r="M30" s="180"/>
      <c r="N30" s="179">
        <v>1.0</v>
      </c>
      <c r="T30" s="132"/>
      <c r="U30" s="7"/>
    </row>
    <row r="31">
      <c r="A31" s="14"/>
      <c r="B31" s="135">
        <f t="shared" si="9"/>
        <v>11</v>
      </c>
      <c r="C31" s="156" t="str">
        <f t="shared" si="10"/>
        <v> Messina</v>
      </c>
      <c r="D31" s="180">
        <v>1.0</v>
      </c>
      <c r="E31" s="181"/>
      <c r="K31" s="135">
        <f t="shared" si="11"/>
        <v>11</v>
      </c>
      <c r="L31" s="156" t="str">
        <f t="shared" si="12"/>
        <v> Hamoui</v>
      </c>
      <c r="M31" s="180">
        <v>1.0</v>
      </c>
      <c r="N31" s="179"/>
      <c r="T31" s="132"/>
      <c r="U31" s="7"/>
    </row>
    <row r="32">
      <c r="A32" s="8"/>
      <c r="B32" s="129">
        <f t="shared" si="9"/>
        <v>12</v>
      </c>
      <c r="C32" s="156" t="str">
        <f t="shared" si="10"/>
        <v> Cestero</v>
      </c>
      <c r="D32" s="180">
        <v>1.0</v>
      </c>
      <c r="E32" s="181"/>
      <c r="K32" s="129">
        <f t="shared" si="11"/>
        <v>12</v>
      </c>
      <c r="L32" s="156" t="str">
        <f t="shared" si="12"/>
        <v> Reeves</v>
      </c>
      <c r="M32" s="180">
        <v>1.0</v>
      </c>
      <c r="N32" s="181"/>
      <c r="P32" s="136">
        <v>1.0</v>
      </c>
      <c r="T32" s="132"/>
      <c r="U32" s="7"/>
    </row>
    <row r="33">
      <c r="A33" s="14"/>
      <c r="B33" s="135">
        <f t="shared" si="9"/>
        <v>12</v>
      </c>
      <c r="C33" s="156" t="str">
        <f t="shared" si="10"/>
        <v> Messina</v>
      </c>
      <c r="D33" s="180">
        <v>1.0</v>
      </c>
      <c r="E33" s="181"/>
      <c r="K33" s="135">
        <f t="shared" si="11"/>
        <v>12</v>
      </c>
      <c r="L33" s="156" t="str">
        <f t="shared" si="12"/>
        <v> Hamoui</v>
      </c>
      <c r="M33" s="178"/>
      <c r="N33" s="179">
        <v>1.0</v>
      </c>
      <c r="T33" s="132"/>
      <c r="U33" s="7"/>
    </row>
    <row r="34">
      <c r="A34" s="8"/>
      <c r="B34" s="129">
        <f t="shared" si="9"/>
        <v>13</v>
      </c>
      <c r="C34" s="156" t="str">
        <f t="shared" si="10"/>
        <v> Cestero</v>
      </c>
      <c r="D34" s="180">
        <v>1.0</v>
      </c>
      <c r="E34" s="181"/>
      <c r="K34" s="129">
        <f t="shared" si="11"/>
        <v>13</v>
      </c>
      <c r="L34" s="156" t="str">
        <f t="shared" si="12"/>
        <v> Reeves</v>
      </c>
      <c r="M34" s="180"/>
      <c r="N34" s="181"/>
      <c r="T34" s="132"/>
      <c r="U34" s="7"/>
    </row>
    <row r="35">
      <c r="A35" s="14"/>
      <c r="B35" s="135">
        <f t="shared" si="9"/>
        <v>13</v>
      </c>
      <c r="C35" s="156" t="str">
        <f t="shared" si="10"/>
        <v> Messina</v>
      </c>
      <c r="D35" s="180">
        <v>1.0</v>
      </c>
      <c r="E35" s="179"/>
      <c r="K35" s="135">
        <f t="shared" si="11"/>
        <v>13</v>
      </c>
      <c r="L35" s="156" t="str">
        <f t="shared" si="12"/>
        <v> Hamoui</v>
      </c>
      <c r="M35" s="180"/>
      <c r="N35" s="181"/>
      <c r="T35" s="132"/>
      <c r="U35" s="7"/>
    </row>
    <row r="36">
      <c r="A36" s="8"/>
      <c r="B36" s="129">
        <f t="shared" si="9"/>
        <v>14</v>
      </c>
      <c r="C36" s="156" t="str">
        <f t="shared" si="10"/>
        <v> Cestero</v>
      </c>
      <c r="D36" s="180">
        <v>1.0</v>
      </c>
      <c r="E36" s="181"/>
      <c r="K36" s="129">
        <f t="shared" si="11"/>
        <v>14</v>
      </c>
      <c r="L36" s="156" t="str">
        <f t="shared" si="12"/>
        <v> Reeves</v>
      </c>
      <c r="M36" s="180"/>
      <c r="N36" s="181"/>
      <c r="T36" s="132"/>
      <c r="U36" s="7"/>
    </row>
    <row r="37">
      <c r="A37" s="14"/>
      <c r="B37" s="135">
        <f t="shared" si="9"/>
        <v>14</v>
      </c>
      <c r="C37" s="156" t="str">
        <f t="shared" si="10"/>
        <v> Messina</v>
      </c>
      <c r="D37" s="180">
        <v>1.0</v>
      </c>
      <c r="E37" s="181"/>
      <c r="K37" s="135">
        <f t="shared" si="11"/>
        <v>14</v>
      </c>
      <c r="L37" s="156" t="str">
        <f t="shared" si="12"/>
        <v> Hamoui</v>
      </c>
      <c r="M37" s="180"/>
      <c r="N37" s="181"/>
      <c r="T37" s="132"/>
      <c r="U37" s="7"/>
    </row>
    <row r="38">
      <c r="A38" s="8"/>
      <c r="B38" s="129">
        <f t="shared" si="9"/>
        <v>15</v>
      </c>
      <c r="C38" s="156" t="str">
        <f t="shared" si="10"/>
        <v> Cestero</v>
      </c>
      <c r="D38" s="180"/>
      <c r="E38" s="181"/>
      <c r="K38" s="129">
        <f t="shared" si="11"/>
        <v>15</v>
      </c>
      <c r="L38" s="156" t="str">
        <f t="shared" si="12"/>
        <v> Reeves</v>
      </c>
      <c r="M38" s="180"/>
      <c r="N38" s="181"/>
      <c r="T38" s="132"/>
      <c r="U38" s="7"/>
    </row>
    <row r="39">
      <c r="A39" s="14"/>
      <c r="B39" s="135">
        <f t="shared" si="9"/>
        <v>15</v>
      </c>
      <c r="C39" s="156" t="str">
        <f t="shared" si="10"/>
        <v> Messina</v>
      </c>
      <c r="D39" s="180"/>
      <c r="E39" s="181"/>
      <c r="K39" s="135">
        <f t="shared" si="11"/>
        <v>15</v>
      </c>
      <c r="L39" s="156" t="str">
        <f t="shared" si="12"/>
        <v> Hamoui</v>
      </c>
      <c r="M39" s="180"/>
      <c r="N39" s="181"/>
      <c r="T39" s="132"/>
      <c r="U39" s="7"/>
    </row>
    <row r="40">
      <c r="A40" s="8"/>
      <c r="B40" s="129">
        <f t="shared" si="9"/>
        <v>16</v>
      </c>
      <c r="C40" s="156" t="str">
        <f t="shared" si="10"/>
        <v> Cestero</v>
      </c>
      <c r="D40" s="180"/>
      <c r="E40" s="179"/>
      <c r="K40" s="129">
        <f t="shared" si="11"/>
        <v>16</v>
      </c>
      <c r="L40" s="156" t="str">
        <f t="shared" si="12"/>
        <v> Reeves</v>
      </c>
      <c r="M40" s="180"/>
      <c r="N40" s="181"/>
      <c r="T40" s="132"/>
      <c r="U40" s="7"/>
    </row>
    <row r="41">
      <c r="A41" s="14"/>
      <c r="B41" s="135">
        <f t="shared" si="9"/>
        <v>16</v>
      </c>
      <c r="C41" s="156" t="str">
        <f t="shared" si="10"/>
        <v> Messina</v>
      </c>
      <c r="D41" s="180"/>
      <c r="E41" s="181"/>
      <c r="K41" s="135">
        <f t="shared" si="11"/>
        <v>16</v>
      </c>
      <c r="L41" s="156" t="str">
        <f t="shared" si="12"/>
        <v> Hamoui</v>
      </c>
      <c r="M41" s="178"/>
      <c r="N41" s="179"/>
      <c r="T41" s="132"/>
      <c r="U41" s="7"/>
    </row>
    <row r="42">
      <c r="A42" s="8"/>
      <c r="B42" s="129">
        <f t="shared" si="9"/>
        <v>17</v>
      </c>
      <c r="C42" s="156" t="str">
        <f t="shared" si="10"/>
        <v> Cestero</v>
      </c>
      <c r="D42" s="180"/>
      <c r="E42" s="181"/>
      <c r="K42" s="129">
        <f t="shared" si="11"/>
        <v>17</v>
      </c>
      <c r="L42" s="156" t="str">
        <f t="shared" si="12"/>
        <v> Reeves</v>
      </c>
      <c r="M42" s="180"/>
      <c r="N42" s="181"/>
      <c r="T42" s="132"/>
      <c r="U42" s="7"/>
    </row>
    <row r="43">
      <c r="A43" s="14"/>
      <c r="B43" s="135">
        <f t="shared" si="9"/>
        <v>17</v>
      </c>
      <c r="C43" s="156" t="str">
        <f t="shared" si="10"/>
        <v> Messina</v>
      </c>
      <c r="D43" s="178"/>
      <c r="E43" s="179"/>
      <c r="K43" s="135">
        <f t="shared" si="11"/>
        <v>17</v>
      </c>
      <c r="L43" s="156" t="str">
        <f t="shared" si="12"/>
        <v> Hamoui</v>
      </c>
      <c r="M43" s="180"/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Cestero</v>
      </c>
      <c r="D44" s="180"/>
      <c r="E44" s="181"/>
      <c r="K44" s="129">
        <f t="shared" si="11"/>
        <v>18</v>
      </c>
      <c r="L44" s="156" t="str">
        <f t="shared" si="12"/>
        <v> Reeves</v>
      </c>
      <c r="M44" s="180"/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Messina</v>
      </c>
      <c r="D45" s="180"/>
      <c r="E45" s="181"/>
      <c r="K45" s="129">
        <f t="shared" si="11"/>
        <v>18</v>
      </c>
      <c r="L45" s="156" t="str">
        <f t="shared" si="12"/>
        <v> Hamoui</v>
      </c>
      <c r="M45" s="180"/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Cestero</v>
      </c>
      <c r="D46" s="180"/>
      <c r="E46" s="181"/>
      <c r="K46" s="135">
        <f t="shared" si="11"/>
        <v>19</v>
      </c>
      <c r="L46" s="156" t="str">
        <f t="shared" si="12"/>
        <v> Reeves</v>
      </c>
      <c r="M46" s="180"/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Messina</v>
      </c>
      <c r="D47" s="180"/>
      <c r="E47" s="181"/>
      <c r="K47" s="129">
        <f t="shared" si="11"/>
        <v>19</v>
      </c>
      <c r="L47" s="156" t="str">
        <f t="shared" si="12"/>
        <v> Hamoui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Cestero</v>
      </c>
      <c r="D48" s="180"/>
      <c r="E48" s="181"/>
      <c r="K48" s="135">
        <f t="shared" si="11"/>
        <v>20</v>
      </c>
      <c r="L48" s="156" t="str">
        <f t="shared" si="12"/>
        <v> Reeves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Messina</v>
      </c>
      <c r="D49" s="178"/>
      <c r="E49" s="179"/>
      <c r="K49" s="129">
        <f t="shared" si="11"/>
        <v>20</v>
      </c>
      <c r="L49" s="156" t="str">
        <f t="shared" si="12"/>
        <v> Hamoui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Cestero</v>
      </c>
      <c r="D50" s="180"/>
      <c r="E50" s="181"/>
      <c r="K50" s="129">
        <f t="shared" si="11"/>
        <v>21</v>
      </c>
      <c r="L50" s="156" t="str">
        <f t="shared" si="12"/>
        <v> Reeves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Messina</v>
      </c>
      <c r="D51" s="180"/>
      <c r="E51" s="181"/>
      <c r="K51" s="135">
        <f t="shared" si="11"/>
        <v>21</v>
      </c>
      <c r="L51" s="156" t="str">
        <f t="shared" si="12"/>
        <v> Hamoui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Cestero</v>
      </c>
      <c r="D52" s="178"/>
      <c r="E52" s="181"/>
      <c r="K52" s="129">
        <f t="shared" si="11"/>
        <v>22</v>
      </c>
      <c r="L52" s="156" t="str">
        <f t="shared" si="12"/>
        <v> Reeves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Messina</v>
      </c>
      <c r="D53" s="178"/>
      <c r="E53" s="181"/>
      <c r="K53" s="135">
        <f t="shared" si="11"/>
        <v>22</v>
      </c>
      <c r="L53" s="156" t="str">
        <f t="shared" si="12"/>
        <v> Hamoui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Cestero</v>
      </c>
      <c r="D54" s="178"/>
      <c r="E54" s="181"/>
      <c r="K54" s="129">
        <f t="shared" si="11"/>
        <v>23</v>
      </c>
      <c r="L54" s="156" t="str">
        <f t="shared" si="12"/>
        <v> Reeves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Messina</v>
      </c>
      <c r="D55" s="178"/>
      <c r="E55" s="181"/>
      <c r="K55" s="135">
        <f t="shared" si="11"/>
        <v>23</v>
      </c>
      <c r="L55" s="156" t="str">
        <f t="shared" si="12"/>
        <v> Hamoui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Cestero</v>
      </c>
      <c r="D56" s="178"/>
      <c r="E56" s="181"/>
      <c r="K56" s="129">
        <f t="shared" si="11"/>
        <v>24</v>
      </c>
      <c r="L56" s="156" t="str">
        <f t="shared" si="12"/>
        <v> Reeves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Messina</v>
      </c>
      <c r="D57" s="178"/>
      <c r="E57" s="181"/>
      <c r="K57" s="129">
        <f t="shared" si="11"/>
        <v>24</v>
      </c>
      <c r="L57" s="156" t="str">
        <f t="shared" si="12"/>
        <v> Hamoui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Cestero</v>
      </c>
      <c r="D58" s="178"/>
      <c r="E58" s="181"/>
      <c r="K58" s="135">
        <f t="shared" si="11"/>
        <v>25</v>
      </c>
      <c r="L58" s="156" t="str">
        <f t="shared" si="12"/>
        <v> Reeves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Messina</v>
      </c>
      <c r="D59" s="178"/>
      <c r="E59" s="181"/>
      <c r="K59" s="129">
        <f t="shared" si="11"/>
        <v>25</v>
      </c>
      <c r="L59" s="156" t="str">
        <f t="shared" si="12"/>
        <v> Hamoui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Cestero</v>
      </c>
      <c r="D60" s="178"/>
      <c r="E60" s="181"/>
      <c r="K60" s="135">
        <f t="shared" si="11"/>
        <v>26</v>
      </c>
      <c r="L60" s="156" t="str">
        <f t="shared" si="12"/>
        <v> Reeves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Messina</v>
      </c>
      <c r="D61" s="178"/>
      <c r="E61" s="181"/>
      <c r="K61" s="129">
        <f t="shared" si="11"/>
        <v>26</v>
      </c>
      <c r="L61" s="156" t="str">
        <f t="shared" si="12"/>
        <v> Hamoui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Cestero</v>
      </c>
      <c r="D62" s="178"/>
      <c r="E62" s="181"/>
      <c r="K62" s="135">
        <f t="shared" si="11"/>
        <v>27</v>
      </c>
      <c r="L62" s="156" t="str">
        <f t="shared" si="12"/>
        <v> Reeves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Messina</v>
      </c>
      <c r="D63" s="178"/>
      <c r="E63" s="181"/>
      <c r="K63" s="129">
        <f t="shared" si="11"/>
        <v>27</v>
      </c>
      <c r="L63" s="156" t="str">
        <f t="shared" si="12"/>
        <v> Hamoui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Cestero</v>
      </c>
      <c r="D64" s="178"/>
      <c r="E64" s="181"/>
      <c r="K64" s="135">
        <f t="shared" si="11"/>
        <v>28</v>
      </c>
      <c r="L64" s="156" t="str">
        <f t="shared" si="12"/>
        <v> Reeves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Messina</v>
      </c>
      <c r="D65" s="178"/>
      <c r="E65" s="181"/>
      <c r="K65" s="129">
        <f t="shared" si="11"/>
        <v>28</v>
      </c>
      <c r="L65" s="156" t="str">
        <f t="shared" si="12"/>
        <v> Hamoui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Cestero</v>
      </c>
      <c r="D66" s="178"/>
      <c r="E66" s="181"/>
      <c r="K66" s="135">
        <f t="shared" si="11"/>
        <v>29</v>
      </c>
      <c r="L66" s="156" t="str">
        <f t="shared" si="12"/>
        <v> Reeves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Messina</v>
      </c>
      <c r="D67" s="178"/>
      <c r="E67" s="181"/>
      <c r="K67" s="135">
        <f t="shared" si="11"/>
        <v>29</v>
      </c>
      <c r="L67" s="156" t="str">
        <f t="shared" si="12"/>
        <v> Hamoui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Cestero</v>
      </c>
      <c r="D68" s="178"/>
      <c r="E68" s="181"/>
      <c r="K68" s="135">
        <f t="shared" si="11"/>
        <v>30</v>
      </c>
      <c r="L68" s="156" t="str">
        <f t="shared" si="12"/>
        <v> Reeves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Messina</v>
      </c>
      <c r="D69" s="178"/>
      <c r="E69" s="181"/>
      <c r="K69" s="135">
        <f t="shared" si="11"/>
        <v>30</v>
      </c>
      <c r="L69" s="156" t="str">
        <f t="shared" si="12"/>
        <v> Hamoui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Cestero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Reeves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Messina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Hamoui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Cestero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Reeves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Messina</v>
      </c>
      <c r="D73" s="178"/>
      <c r="E73" s="181"/>
      <c r="K73" s="129">
        <v>32.0</v>
      </c>
      <c r="L73" s="156" t="str">
        <f t="shared" si="12"/>
        <v> Hamoui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Cestero</v>
      </c>
      <c r="D74" s="192"/>
      <c r="E74" s="181"/>
      <c r="K74" s="129">
        <v>33.0</v>
      </c>
      <c r="L74" s="156" t="str">
        <f t="shared" si="12"/>
        <v> Reeves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Messina</v>
      </c>
      <c r="D75" s="178"/>
      <c r="E75" s="181"/>
      <c r="K75" s="129">
        <v>33.0</v>
      </c>
      <c r="L75" s="156" t="str">
        <f t="shared" si="12"/>
        <v> Hamoui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Cestero</v>
      </c>
      <c r="D76" s="178"/>
      <c r="E76" s="181"/>
      <c r="K76" s="129">
        <v>34.0</v>
      </c>
      <c r="L76" s="156" t="str">
        <f t="shared" si="12"/>
        <v> Reeves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Messina</v>
      </c>
      <c r="D77" s="178"/>
      <c r="E77" s="181"/>
      <c r="K77" s="129">
        <v>34.0</v>
      </c>
      <c r="L77" s="156" t="str">
        <f t="shared" si="12"/>
        <v> Hamoui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Cestero</v>
      </c>
      <c r="D78" s="178"/>
      <c r="E78" s="181"/>
      <c r="K78" s="129">
        <v>35.0</v>
      </c>
      <c r="L78" s="156" t="str">
        <f t="shared" si="12"/>
        <v> Reeves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Messina</v>
      </c>
      <c r="D79" s="178"/>
      <c r="E79" s="181"/>
      <c r="K79" s="129">
        <v>35.0</v>
      </c>
      <c r="L79" s="156" t="str">
        <f t="shared" si="12"/>
        <v> Hamoui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Cestero</v>
      </c>
      <c r="D80" s="178"/>
      <c r="E80" s="181"/>
      <c r="K80" s="129">
        <v>36.0</v>
      </c>
      <c r="L80" s="156" t="str">
        <f t="shared" si="12"/>
        <v> Reeves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Messina</v>
      </c>
      <c r="D81" s="178"/>
      <c r="E81" s="181"/>
      <c r="K81" s="129">
        <v>36.0</v>
      </c>
      <c r="L81" s="156" t="str">
        <f t="shared" si="12"/>
        <v> Hamoui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Cestero</v>
      </c>
      <c r="D82" s="178"/>
      <c r="E82" s="181"/>
      <c r="K82" s="129">
        <v>37.0</v>
      </c>
      <c r="L82" s="156" t="str">
        <f t="shared" si="12"/>
        <v> Reeves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Messina</v>
      </c>
      <c r="D83" s="178"/>
      <c r="E83" s="181"/>
      <c r="K83" s="129">
        <v>37.0</v>
      </c>
      <c r="L83" s="156" t="str">
        <f t="shared" si="12"/>
        <v> Hamoui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Cestero</v>
      </c>
      <c r="D84" s="178"/>
      <c r="E84" s="181"/>
      <c r="K84" s="129">
        <v>38.0</v>
      </c>
      <c r="L84" s="156" t="str">
        <f t="shared" si="12"/>
        <v> Reeves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Messina</v>
      </c>
      <c r="D85" s="178"/>
      <c r="E85" s="181"/>
      <c r="K85" s="129">
        <v>38.0</v>
      </c>
      <c r="L85" s="156" t="str">
        <f t="shared" si="12"/>
        <v> Hamoui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Cestero</v>
      </c>
      <c r="D86" s="178"/>
      <c r="E86" s="181"/>
      <c r="K86" s="129">
        <v>39.0</v>
      </c>
      <c r="L86" s="156" t="str">
        <f t="shared" si="12"/>
        <v> Reeves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Messina</v>
      </c>
      <c r="D87" s="178"/>
      <c r="E87" s="181"/>
      <c r="K87" s="129">
        <v>39.0</v>
      </c>
      <c r="L87" s="156" t="str">
        <f t="shared" si="12"/>
        <v> Hamoui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Cestero</v>
      </c>
      <c r="D88" s="178"/>
      <c r="E88" s="181"/>
      <c r="K88" s="129">
        <v>40.0</v>
      </c>
      <c r="L88" s="156" t="str">
        <f t="shared" si="12"/>
        <v> Reeves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Messina</v>
      </c>
      <c r="D89" s="178"/>
      <c r="E89" s="181"/>
      <c r="K89" s="129">
        <v>40.0</v>
      </c>
      <c r="L89" s="156" t="str">
        <f t="shared" si="12"/>
        <v> Hamoui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0.13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82</v>
      </c>
      <c r="D3" s="189">
        <f t="shared" ref="D3:J3" si="1">SUMPRODUCT(D10:D90,MOD(ROW(D10:D90),2)=0)</f>
        <v>10</v>
      </c>
      <c r="E3" s="189">
        <f t="shared" si="1"/>
        <v>8</v>
      </c>
      <c r="F3" s="189">
        <f t="shared" si="1"/>
        <v>0</v>
      </c>
      <c r="G3" s="189">
        <f t="shared" si="1"/>
        <v>0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107</v>
      </c>
      <c r="M3" s="189">
        <f t="shared" ref="M3:S3" si="2">SUMPRODUCT(M10:M90,MOD(ROW(M10:M90),2)=0)</f>
        <v>13</v>
      </c>
      <c r="N3" s="189">
        <f t="shared" si="2"/>
        <v>5</v>
      </c>
      <c r="O3" s="189">
        <f t="shared" si="2"/>
        <v>1</v>
      </c>
      <c r="P3" s="189">
        <f t="shared" si="2"/>
        <v>1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100</v>
      </c>
      <c r="D4" s="191">
        <f t="shared" ref="D4:J4" si="3">SUMPRODUCT(D10:D90,MOD(ROW(D10:D90),2))</f>
        <v>15</v>
      </c>
      <c r="E4" s="191">
        <f t="shared" si="3"/>
        <v>2</v>
      </c>
      <c r="F4" s="191">
        <f t="shared" si="3"/>
        <v>0</v>
      </c>
      <c r="G4" s="191">
        <f t="shared" si="3"/>
        <v>0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118</v>
      </c>
      <c r="M4" s="191">
        <f t="shared" ref="M4:S4" si="4">SUMPRODUCT(M10:M90,MOD(ROW(M10:M90),2))</f>
        <v>14</v>
      </c>
      <c r="N4" s="191">
        <f t="shared" si="4"/>
        <v>4</v>
      </c>
      <c r="O4" s="191">
        <f t="shared" si="4"/>
        <v>0</v>
      </c>
      <c r="P4" s="191">
        <f t="shared" si="4"/>
        <v>2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Mies %</v>
      </c>
      <c r="D5" s="137">
        <f t="shared" ref="D5:D6" si="6">IFERROR((E3/(E3+D3)),0)</f>
        <v>0.4444444444</v>
      </c>
      <c r="K5" s="135"/>
      <c r="L5" s="136" t="str">
        <f t="shared" ref="L5:L6" si="7">IFERROR((L10 &amp;" %"), "")</f>
        <v> Martinez %</v>
      </c>
      <c r="M5" s="137">
        <f t="shared" ref="M5:M6" si="8">IFERROR((N3/(N3+M3)),0)</f>
        <v>0.2777777778</v>
      </c>
      <c r="S5" s="132"/>
      <c r="T5" s="132"/>
      <c r="U5" s="7"/>
    </row>
    <row r="6">
      <c r="A6" s="14"/>
      <c r="B6" s="138"/>
      <c r="C6" s="139" t="str">
        <f t="shared" si="5"/>
        <v> Gathy %</v>
      </c>
      <c r="D6" s="140">
        <f t="shared" si="6"/>
        <v>0.1176470588</v>
      </c>
      <c r="E6" s="141"/>
      <c r="F6" s="141"/>
      <c r="G6" s="141"/>
      <c r="H6" s="141"/>
      <c r="I6" s="141"/>
      <c r="J6" s="141"/>
      <c r="K6" s="138"/>
      <c r="L6" s="139" t="str">
        <f t="shared" si="7"/>
        <v> Grissinger %</v>
      </c>
      <c r="M6" s="142">
        <f t="shared" si="8"/>
        <v>0.2222222222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Mies")</f>
        <v> Mies</v>
      </c>
      <c r="D10" s="180">
        <v>1.0</v>
      </c>
      <c r="E10" s="181"/>
      <c r="F10" s="136"/>
      <c r="G10" s="136"/>
      <c r="K10" s="129">
        <v>1.0</v>
      </c>
      <c r="L10" s="136" t="str">
        <f>IFERROR(__xludf.DUMMYFUNCTION("REGEXEXTRACT(L3, ""( .*)+"")")," Martinez")</f>
        <v> Martinez</v>
      </c>
      <c r="M10" s="180">
        <v>1.0</v>
      </c>
      <c r="N10" s="179"/>
      <c r="O10" s="136">
        <v>1.0</v>
      </c>
      <c r="P10" s="186"/>
      <c r="T10" s="132"/>
      <c r="U10" s="7"/>
    </row>
    <row r="11">
      <c r="A11" s="8"/>
      <c r="B11" s="129">
        <v>1.0</v>
      </c>
      <c r="C11" s="136" t="str">
        <f>IFERROR(__xludf.DUMMYFUNCTION("REGEXEXTRACT(C4, ""( .*)+"")")," Gathy")</f>
        <v> Gathy</v>
      </c>
      <c r="D11" s="180">
        <v>1.0</v>
      </c>
      <c r="E11" s="179"/>
      <c r="K11" s="129">
        <v>1.0</v>
      </c>
      <c r="L11" s="136" t="str">
        <f>IFERROR(__xludf.DUMMYFUNCTION("REGEXEXTRACT(L4, ""( .*)+"")")," Grissinger")</f>
        <v> Grissinger</v>
      </c>
      <c r="M11" s="180">
        <v>1.0</v>
      </c>
      <c r="N11" s="179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Mies</v>
      </c>
      <c r="D12" s="180">
        <v>1.0</v>
      </c>
      <c r="E12" s="179"/>
      <c r="K12" s="129">
        <f t="shared" ref="K12:K69" si="11">K10+1</f>
        <v>2</v>
      </c>
      <c r="L12" s="156" t="str">
        <f t="shared" ref="L12:L89" si="12">L10</f>
        <v> Martinez</v>
      </c>
      <c r="M12" s="180">
        <v>1.0</v>
      </c>
      <c r="N12" s="179"/>
      <c r="T12" s="132"/>
      <c r="U12" s="7"/>
    </row>
    <row r="13">
      <c r="A13" s="14"/>
      <c r="B13" s="135">
        <f t="shared" si="9"/>
        <v>2</v>
      </c>
      <c r="C13" s="156" t="str">
        <f t="shared" si="10"/>
        <v> Gathy</v>
      </c>
      <c r="D13" s="180"/>
      <c r="E13" s="179">
        <v>1.0</v>
      </c>
      <c r="K13" s="135">
        <f t="shared" si="11"/>
        <v>2</v>
      </c>
      <c r="L13" s="156" t="str">
        <f t="shared" si="12"/>
        <v> Grissinger</v>
      </c>
      <c r="M13" s="180"/>
      <c r="N13" s="179">
        <v>1.0</v>
      </c>
      <c r="T13" s="132"/>
      <c r="U13" s="7"/>
    </row>
    <row r="14">
      <c r="A14" s="8"/>
      <c r="B14" s="129">
        <f t="shared" si="9"/>
        <v>3</v>
      </c>
      <c r="C14" s="156" t="str">
        <f t="shared" si="10"/>
        <v> Mies</v>
      </c>
      <c r="D14" s="180"/>
      <c r="E14" s="179">
        <v>1.0</v>
      </c>
      <c r="K14" s="129">
        <f t="shared" si="11"/>
        <v>3</v>
      </c>
      <c r="L14" s="156" t="str">
        <f t="shared" si="12"/>
        <v> Martinez</v>
      </c>
      <c r="M14" s="180">
        <v>1.0</v>
      </c>
      <c r="N14" s="181"/>
      <c r="T14" s="132"/>
      <c r="U14" s="7"/>
    </row>
    <row r="15">
      <c r="A15" s="14"/>
      <c r="B15" s="135">
        <f t="shared" si="9"/>
        <v>3</v>
      </c>
      <c r="C15" s="156" t="str">
        <f t="shared" si="10"/>
        <v> Gathy</v>
      </c>
      <c r="D15" s="180">
        <v>1.0</v>
      </c>
      <c r="E15" s="179"/>
      <c r="K15" s="135">
        <f t="shared" si="11"/>
        <v>3</v>
      </c>
      <c r="L15" s="156" t="str">
        <f t="shared" si="12"/>
        <v> Grissinger</v>
      </c>
      <c r="M15" s="180">
        <v>1.0</v>
      </c>
      <c r="N15" s="181"/>
      <c r="T15" s="132"/>
      <c r="U15" s="7"/>
    </row>
    <row r="16">
      <c r="A16" s="8"/>
      <c r="B16" s="129">
        <f t="shared" si="9"/>
        <v>4</v>
      </c>
      <c r="C16" s="156" t="str">
        <f t="shared" si="10"/>
        <v> Mies</v>
      </c>
      <c r="D16" s="180">
        <v>1.0</v>
      </c>
      <c r="E16" s="181"/>
      <c r="K16" s="129">
        <f t="shared" si="11"/>
        <v>4</v>
      </c>
      <c r="L16" s="156" t="str">
        <f t="shared" si="12"/>
        <v> Martinez</v>
      </c>
      <c r="M16" s="180"/>
      <c r="N16" s="179">
        <v>1.0</v>
      </c>
      <c r="T16" s="132"/>
      <c r="U16" s="7"/>
    </row>
    <row r="17">
      <c r="A17" s="14"/>
      <c r="B17" s="135">
        <f t="shared" si="9"/>
        <v>4</v>
      </c>
      <c r="C17" s="156" t="str">
        <f t="shared" si="10"/>
        <v> Gathy</v>
      </c>
      <c r="D17" s="180">
        <v>1.0</v>
      </c>
      <c r="E17" s="179"/>
      <c r="K17" s="135">
        <f t="shared" si="11"/>
        <v>4</v>
      </c>
      <c r="L17" s="156" t="str">
        <f t="shared" si="12"/>
        <v> Grissinger</v>
      </c>
      <c r="M17" s="180">
        <v>1.0</v>
      </c>
      <c r="N17" s="179"/>
      <c r="T17" s="132"/>
      <c r="U17" s="7"/>
    </row>
    <row r="18">
      <c r="A18" s="8"/>
      <c r="B18" s="129">
        <f t="shared" si="9"/>
        <v>5</v>
      </c>
      <c r="C18" s="156" t="str">
        <f t="shared" si="10"/>
        <v> Mies</v>
      </c>
      <c r="D18" s="180"/>
      <c r="E18" s="179">
        <v>1.0</v>
      </c>
      <c r="K18" s="129">
        <f t="shared" si="11"/>
        <v>5</v>
      </c>
      <c r="L18" s="156" t="str">
        <f t="shared" si="12"/>
        <v> Martinez</v>
      </c>
      <c r="M18" s="180"/>
      <c r="N18" s="179">
        <v>1.0</v>
      </c>
      <c r="T18" s="132"/>
      <c r="U18" s="7"/>
    </row>
    <row r="19">
      <c r="A19" s="14"/>
      <c r="B19" s="135">
        <f t="shared" si="9"/>
        <v>5</v>
      </c>
      <c r="C19" s="156" t="str">
        <f t="shared" si="10"/>
        <v> Gathy</v>
      </c>
      <c r="D19" s="180">
        <v>1.0</v>
      </c>
      <c r="E19" s="181"/>
      <c r="K19" s="135">
        <f t="shared" si="11"/>
        <v>5</v>
      </c>
      <c r="L19" s="156" t="str">
        <f t="shared" si="12"/>
        <v> Grissinger</v>
      </c>
      <c r="M19" s="180">
        <v>1.0</v>
      </c>
      <c r="N19" s="179"/>
      <c r="T19" s="132"/>
      <c r="U19" s="7"/>
    </row>
    <row r="20">
      <c r="A20" s="8"/>
      <c r="B20" s="129">
        <f t="shared" si="9"/>
        <v>6</v>
      </c>
      <c r="C20" s="156" t="str">
        <f t="shared" si="10"/>
        <v> Mies</v>
      </c>
      <c r="D20" s="178"/>
      <c r="E20" s="179">
        <v>1.0</v>
      </c>
      <c r="K20" s="129">
        <f t="shared" si="11"/>
        <v>6</v>
      </c>
      <c r="L20" s="156" t="str">
        <f t="shared" si="12"/>
        <v> Martinez</v>
      </c>
      <c r="M20" s="180"/>
      <c r="N20" s="179">
        <v>1.0</v>
      </c>
      <c r="T20" s="132"/>
      <c r="U20" s="7"/>
    </row>
    <row r="21">
      <c r="A21" s="14"/>
      <c r="B21" s="135">
        <f t="shared" si="9"/>
        <v>6</v>
      </c>
      <c r="C21" s="156" t="str">
        <f t="shared" si="10"/>
        <v> Gathy</v>
      </c>
      <c r="D21" s="180">
        <v>1.0</v>
      </c>
      <c r="E21" s="181"/>
      <c r="K21" s="135">
        <f t="shared" si="11"/>
        <v>6</v>
      </c>
      <c r="L21" s="156" t="str">
        <f t="shared" si="12"/>
        <v> Grissinger</v>
      </c>
      <c r="M21" s="180">
        <v>1.0</v>
      </c>
      <c r="N21" s="181"/>
      <c r="T21" s="132"/>
      <c r="U21" s="7"/>
    </row>
    <row r="22">
      <c r="A22" s="8"/>
      <c r="B22" s="129">
        <f t="shared" si="9"/>
        <v>7</v>
      </c>
      <c r="C22" s="156" t="str">
        <f t="shared" si="10"/>
        <v> Mies</v>
      </c>
      <c r="D22" s="180"/>
      <c r="E22" s="179">
        <v>1.0</v>
      </c>
      <c r="K22" s="129">
        <f t="shared" si="11"/>
        <v>7</v>
      </c>
      <c r="L22" s="156" t="str">
        <f t="shared" si="12"/>
        <v> Martinez</v>
      </c>
      <c r="M22" s="180">
        <v>1.0</v>
      </c>
      <c r="N22" s="181"/>
      <c r="T22" s="132"/>
      <c r="U22" s="7"/>
    </row>
    <row r="23">
      <c r="A23" s="14"/>
      <c r="B23" s="135">
        <f t="shared" si="9"/>
        <v>7</v>
      </c>
      <c r="C23" s="156" t="str">
        <f t="shared" si="10"/>
        <v> Gathy</v>
      </c>
      <c r="D23" s="180">
        <v>1.0</v>
      </c>
      <c r="E23" s="181"/>
      <c r="K23" s="135">
        <f t="shared" si="11"/>
        <v>7</v>
      </c>
      <c r="L23" s="156" t="str">
        <f t="shared" si="12"/>
        <v> Grissinger</v>
      </c>
      <c r="M23" s="180"/>
      <c r="N23" s="179">
        <v>1.0</v>
      </c>
      <c r="T23" s="132"/>
      <c r="U23" s="7"/>
    </row>
    <row r="24">
      <c r="A24" s="8"/>
      <c r="B24" s="129">
        <f t="shared" si="9"/>
        <v>8</v>
      </c>
      <c r="C24" s="156" t="str">
        <f t="shared" si="10"/>
        <v> Mies</v>
      </c>
      <c r="D24" s="180">
        <v>1.0</v>
      </c>
      <c r="E24" s="181"/>
      <c r="K24" s="129">
        <f t="shared" si="11"/>
        <v>8</v>
      </c>
      <c r="L24" s="156" t="str">
        <f t="shared" si="12"/>
        <v> Martinez</v>
      </c>
      <c r="M24" s="180">
        <v>1.0</v>
      </c>
      <c r="N24" s="181"/>
      <c r="T24" s="132"/>
      <c r="U24" s="7"/>
    </row>
    <row r="25">
      <c r="A25" s="14"/>
      <c r="B25" s="135">
        <f t="shared" si="9"/>
        <v>8</v>
      </c>
      <c r="C25" s="156" t="str">
        <f t="shared" si="10"/>
        <v> Gathy</v>
      </c>
      <c r="D25" s="180">
        <v>1.0</v>
      </c>
      <c r="E25" s="181"/>
      <c r="K25" s="135">
        <f t="shared" si="11"/>
        <v>8</v>
      </c>
      <c r="L25" s="156" t="str">
        <f t="shared" si="12"/>
        <v> Grissinger</v>
      </c>
      <c r="M25" s="178"/>
      <c r="N25" s="179">
        <v>1.0</v>
      </c>
      <c r="T25" s="132"/>
      <c r="U25" s="7"/>
    </row>
    <row r="26">
      <c r="A26" s="8"/>
      <c r="B26" s="129">
        <f t="shared" si="9"/>
        <v>9</v>
      </c>
      <c r="C26" s="156" t="str">
        <f t="shared" si="10"/>
        <v> Mies</v>
      </c>
      <c r="D26" s="180">
        <v>1.0</v>
      </c>
      <c r="E26" s="181"/>
      <c r="K26" s="129">
        <f t="shared" si="11"/>
        <v>9</v>
      </c>
      <c r="L26" s="156" t="str">
        <f t="shared" si="12"/>
        <v> Martinez</v>
      </c>
      <c r="M26" s="180"/>
      <c r="N26" s="179">
        <v>1.0</v>
      </c>
      <c r="T26" s="132"/>
      <c r="U26" s="7"/>
    </row>
    <row r="27">
      <c r="A27" s="14"/>
      <c r="B27" s="135">
        <f t="shared" si="9"/>
        <v>9</v>
      </c>
      <c r="C27" s="156" t="str">
        <f t="shared" si="10"/>
        <v> Gathy</v>
      </c>
      <c r="D27" s="180">
        <v>1.0</v>
      </c>
      <c r="E27" s="181"/>
      <c r="K27" s="135">
        <f t="shared" si="11"/>
        <v>9</v>
      </c>
      <c r="L27" s="156" t="str">
        <f t="shared" si="12"/>
        <v> Grissinger</v>
      </c>
      <c r="M27" s="180">
        <v>1.0</v>
      </c>
      <c r="N27" s="181"/>
      <c r="P27" s="136">
        <v>1.0</v>
      </c>
      <c r="T27" s="132"/>
      <c r="U27" s="7"/>
    </row>
    <row r="28">
      <c r="A28" s="8"/>
      <c r="B28" s="129">
        <f t="shared" si="9"/>
        <v>10</v>
      </c>
      <c r="C28" s="156" t="str">
        <f t="shared" si="10"/>
        <v> Mies</v>
      </c>
      <c r="D28" s="180">
        <v>1.0</v>
      </c>
      <c r="E28" s="181"/>
      <c r="K28" s="129">
        <f t="shared" si="11"/>
        <v>10</v>
      </c>
      <c r="L28" s="156" t="str">
        <f t="shared" si="12"/>
        <v> Martinez</v>
      </c>
      <c r="M28" s="180"/>
      <c r="N28" s="179">
        <v>1.0</v>
      </c>
      <c r="T28" s="132"/>
      <c r="U28" s="7"/>
    </row>
    <row r="29">
      <c r="A29" s="14"/>
      <c r="B29" s="135">
        <f t="shared" si="9"/>
        <v>10</v>
      </c>
      <c r="C29" s="156" t="str">
        <f t="shared" si="10"/>
        <v> Gathy</v>
      </c>
      <c r="D29" s="180">
        <v>1.0</v>
      </c>
      <c r="E29" s="181"/>
      <c r="K29" s="135">
        <f t="shared" si="11"/>
        <v>10</v>
      </c>
      <c r="L29" s="156" t="str">
        <f t="shared" si="12"/>
        <v> Grissinger</v>
      </c>
      <c r="M29" s="180">
        <v>1.0</v>
      </c>
      <c r="N29" s="181"/>
      <c r="T29" s="132"/>
      <c r="U29" s="7"/>
    </row>
    <row r="30">
      <c r="A30" s="8"/>
      <c r="B30" s="129">
        <f t="shared" si="9"/>
        <v>11</v>
      </c>
      <c r="C30" s="156" t="str">
        <f t="shared" si="10"/>
        <v> Mies</v>
      </c>
      <c r="D30" s="180">
        <v>1.0</v>
      </c>
      <c r="E30" s="181"/>
      <c r="K30" s="129">
        <f t="shared" si="11"/>
        <v>11</v>
      </c>
      <c r="L30" s="156" t="str">
        <f t="shared" si="12"/>
        <v> Martinez</v>
      </c>
      <c r="M30" s="180">
        <v>1.0</v>
      </c>
      <c r="N30" s="181"/>
      <c r="T30" s="132"/>
      <c r="U30" s="7"/>
    </row>
    <row r="31">
      <c r="A31" s="14"/>
      <c r="B31" s="135">
        <f t="shared" si="9"/>
        <v>11</v>
      </c>
      <c r="C31" s="156" t="str">
        <f t="shared" si="10"/>
        <v> Gathy</v>
      </c>
      <c r="D31" s="180">
        <v>1.0</v>
      </c>
      <c r="E31" s="181"/>
      <c r="K31" s="135">
        <f t="shared" si="11"/>
        <v>11</v>
      </c>
      <c r="L31" s="156" t="str">
        <f t="shared" si="12"/>
        <v> Grissinger</v>
      </c>
      <c r="M31" s="180">
        <v>1.0</v>
      </c>
      <c r="N31" s="179"/>
      <c r="T31" s="132"/>
      <c r="U31" s="7"/>
    </row>
    <row r="32">
      <c r="A32" s="8"/>
      <c r="B32" s="129">
        <f t="shared" si="9"/>
        <v>12</v>
      </c>
      <c r="C32" s="156" t="str">
        <f t="shared" si="10"/>
        <v> Mies</v>
      </c>
      <c r="D32" s="180">
        <v>1.0</v>
      </c>
      <c r="E32" s="181"/>
      <c r="K32" s="129">
        <f t="shared" si="11"/>
        <v>12</v>
      </c>
      <c r="L32" s="156" t="str">
        <f t="shared" si="12"/>
        <v> Martinez</v>
      </c>
      <c r="M32" s="180">
        <v>1.0</v>
      </c>
      <c r="N32" s="181"/>
      <c r="T32" s="132"/>
      <c r="U32" s="7"/>
    </row>
    <row r="33">
      <c r="A33" s="14"/>
      <c r="B33" s="135">
        <f t="shared" si="9"/>
        <v>12</v>
      </c>
      <c r="C33" s="156" t="str">
        <f t="shared" si="10"/>
        <v> Gathy</v>
      </c>
      <c r="D33" s="180">
        <v>1.0</v>
      </c>
      <c r="E33" s="181"/>
      <c r="K33" s="135">
        <f t="shared" si="11"/>
        <v>12</v>
      </c>
      <c r="L33" s="156" t="str">
        <f t="shared" si="12"/>
        <v> Grissinger</v>
      </c>
      <c r="M33" s="180">
        <v>1.0</v>
      </c>
      <c r="N33" s="179"/>
      <c r="T33" s="132"/>
      <c r="U33" s="7"/>
    </row>
    <row r="34">
      <c r="A34" s="8"/>
      <c r="B34" s="129">
        <f t="shared" si="9"/>
        <v>13</v>
      </c>
      <c r="C34" s="156" t="str">
        <f t="shared" si="10"/>
        <v> Mies</v>
      </c>
      <c r="D34" s="180"/>
      <c r="E34" s="179">
        <v>1.0</v>
      </c>
      <c r="K34" s="129">
        <f t="shared" si="11"/>
        <v>13</v>
      </c>
      <c r="L34" s="156" t="str">
        <f t="shared" si="12"/>
        <v> Martinez</v>
      </c>
      <c r="M34" s="180">
        <v>1.0</v>
      </c>
      <c r="N34" s="181"/>
      <c r="T34" s="132"/>
      <c r="U34" s="7"/>
    </row>
    <row r="35">
      <c r="A35" s="14"/>
      <c r="B35" s="135">
        <f t="shared" si="9"/>
        <v>13</v>
      </c>
      <c r="C35" s="156" t="str">
        <f t="shared" si="10"/>
        <v> Gathy</v>
      </c>
      <c r="D35" s="180">
        <v>1.0</v>
      </c>
      <c r="E35" s="181"/>
      <c r="K35" s="135">
        <f t="shared" si="11"/>
        <v>13</v>
      </c>
      <c r="L35" s="156" t="str">
        <f t="shared" si="12"/>
        <v> Grissinger</v>
      </c>
      <c r="M35" s="180"/>
      <c r="N35" s="179">
        <v>1.0</v>
      </c>
      <c r="T35" s="132"/>
      <c r="U35" s="7"/>
    </row>
    <row r="36">
      <c r="A36" s="8"/>
      <c r="B36" s="129">
        <f t="shared" si="9"/>
        <v>14</v>
      </c>
      <c r="C36" s="156" t="str">
        <f t="shared" si="10"/>
        <v> Mies</v>
      </c>
      <c r="D36" s="180">
        <v>1.0</v>
      </c>
      <c r="E36" s="181"/>
      <c r="K36" s="129">
        <f t="shared" si="11"/>
        <v>14</v>
      </c>
      <c r="L36" s="156" t="str">
        <f t="shared" si="12"/>
        <v> Martinez</v>
      </c>
      <c r="M36" s="180">
        <v>1.0</v>
      </c>
      <c r="N36" s="181"/>
      <c r="P36" s="136">
        <v>1.0</v>
      </c>
      <c r="T36" s="132"/>
      <c r="U36" s="7"/>
    </row>
    <row r="37">
      <c r="A37" s="14"/>
      <c r="B37" s="135">
        <f t="shared" si="9"/>
        <v>14</v>
      </c>
      <c r="C37" s="156" t="str">
        <f t="shared" si="10"/>
        <v> Gathy</v>
      </c>
      <c r="D37" s="180">
        <v>1.0</v>
      </c>
      <c r="E37" s="181"/>
      <c r="K37" s="135">
        <f t="shared" si="11"/>
        <v>14</v>
      </c>
      <c r="L37" s="156" t="str">
        <f t="shared" si="12"/>
        <v> Grissinger</v>
      </c>
      <c r="M37" s="180">
        <v>1.0</v>
      </c>
      <c r="N37" s="181"/>
      <c r="T37" s="132"/>
      <c r="U37" s="7"/>
    </row>
    <row r="38">
      <c r="A38" s="8"/>
      <c r="B38" s="129">
        <f t="shared" si="9"/>
        <v>15</v>
      </c>
      <c r="C38" s="156" t="str">
        <f t="shared" si="10"/>
        <v> Mies</v>
      </c>
      <c r="D38" s="180"/>
      <c r="E38" s="179">
        <v>1.0</v>
      </c>
      <c r="K38" s="129">
        <f t="shared" si="11"/>
        <v>15</v>
      </c>
      <c r="L38" s="156" t="str">
        <f t="shared" si="12"/>
        <v> Martinez</v>
      </c>
      <c r="M38" s="180">
        <v>1.0</v>
      </c>
      <c r="N38" s="181"/>
      <c r="T38" s="132"/>
      <c r="U38" s="7"/>
    </row>
    <row r="39">
      <c r="A39" s="14"/>
      <c r="B39" s="135">
        <f t="shared" si="9"/>
        <v>15</v>
      </c>
      <c r="C39" s="156" t="str">
        <f t="shared" si="10"/>
        <v> Gathy</v>
      </c>
      <c r="D39" s="180">
        <v>1.0</v>
      </c>
      <c r="E39" s="179"/>
      <c r="K39" s="135">
        <f t="shared" si="11"/>
        <v>15</v>
      </c>
      <c r="L39" s="156" t="str">
        <f t="shared" si="12"/>
        <v> Grissinger</v>
      </c>
      <c r="M39" s="180">
        <v>1.0</v>
      </c>
      <c r="N39" s="181"/>
      <c r="T39" s="132"/>
      <c r="U39" s="7"/>
    </row>
    <row r="40">
      <c r="A40" s="8"/>
      <c r="B40" s="129">
        <f t="shared" si="9"/>
        <v>16</v>
      </c>
      <c r="C40" s="156" t="str">
        <f t="shared" si="10"/>
        <v> Mies</v>
      </c>
      <c r="D40" s="180"/>
      <c r="E40" s="179">
        <v>1.0</v>
      </c>
      <c r="K40" s="129">
        <f t="shared" si="11"/>
        <v>16</v>
      </c>
      <c r="L40" s="156" t="str">
        <f t="shared" si="12"/>
        <v> Martinez</v>
      </c>
      <c r="M40" s="180">
        <v>1.0</v>
      </c>
      <c r="N40" s="181"/>
      <c r="T40" s="132"/>
      <c r="U40" s="7"/>
    </row>
    <row r="41">
      <c r="A41" s="14"/>
      <c r="B41" s="135">
        <f t="shared" si="9"/>
        <v>16</v>
      </c>
      <c r="C41" s="156" t="str">
        <f t="shared" si="10"/>
        <v> Gathy</v>
      </c>
      <c r="D41" s="180">
        <v>1.0</v>
      </c>
      <c r="E41" s="181"/>
      <c r="K41" s="135">
        <f t="shared" si="11"/>
        <v>16</v>
      </c>
      <c r="L41" s="156" t="str">
        <f t="shared" si="12"/>
        <v> Grissinger</v>
      </c>
      <c r="M41" s="180">
        <v>1.0</v>
      </c>
      <c r="N41" s="179"/>
      <c r="T41" s="132"/>
      <c r="U41" s="7"/>
    </row>
    <row r="42">
      <c r="A42" s="8"/>
      <c r="B42" s="129">
        <f t="shared" si="9"/>
        <v>17</v>
      </c>
      <c r="C42" s="156" t="str">
        <f t="shared" si="10"/>
        <v> Mies</v>
      </c>
      <c r="D42" s="180">
        <v>1.0</v>
      </c>
      <c r="E42" s="181"/>
      <c r="K42" s="129">
        <f t="shared" si="11"/>
        <v>17</v>
      </c>
      <c r="L42" s="156" t="str">
        <f t="shared" si="12"/>
        <v> Martinez</v>
      </c>
      <c r="M42" s="180">
        <v>1.0</v>
      </c>
      <c r="N42" s="181"/>
      <c r="T42" s="132"/>
      <c r="U42" s="7"/>
    </row>
    <row r="43">
      <c r="A43" s="14"/>
      <c r="B43" s="135">
        <f t="shared" si="9"/>
        <v>17</v>
      </c>
      <c r="C43" s="156" t="str">
        <f t="shared" si="10"/>
        <v> Gathy</v>
      </c>
      <c r="D43" s="178"/>
      <c r="E43" s="179">
        <v>1.0</v>
      </c>
      <c r="K43" s="135">
        <f t="shared" si="11"/>
        <v>17</v>
      </c>
      <c r="L43" s="156" t="str">
        <f t="shared" si="12"/>
        <v> Grissinger</v>
      </c>
      <c r="M43" s="180">
        <v>1.0</v>
      </c>
      <c r="N43" s="181"/>
      <c r="P43" s="136">
        <v>1.0</v>
      </c>
      <c r="T43" s="132"/>
      <c r="U43" s="7"/>
    </row>
    <row r="44">
      <c r="A44" s="8"/>
      <c r="B44" s="129">
        <f t="shared" si="9"/>
        <v>18</v>
      </c>
      <c r="C44" s="156" t="str">
        <f t="shared" si="10"/>
        <v> Mies</v>
      </c>
      <c r="D44" s="180"/>
      <c r="E44" s="179">
        <v>1.0</v>
      </c>
      <c r="K44" s="129">
        <f t="shared" si="11"/>
        <v>18</v>
      </c>
      <c r="L44" s="156" t="str">
        <f t="shared" si="12"/>
        <v> Martinez</v>
      </c>
      <c r="M44" s="180">
        <v>1.0</v>
      </c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Gathy</v>
      </c>
      <c r="D45" s="180"/>
      <c r="E45" s="181"/>
      <c r="K45" s="129">
        <f t="shared" si="11"/>
        <v>18</v>
      </c>
      <c r="L45" s="156" t="str">
        <f t="shared" si="12"/>
        <v> Grissinger</v>
      </c>
      <c r="M45" s="180">
        <v>1.0</v>
      </c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Mies</v>
      </c>
      <c r="D46" s="180"/>
      <c r="E46" s="181"/>
      <c r="K46" s="135">
        <f t="shared" si="11"/>
        <v>19</v>
      </c>
      <c r="L46" s="156" t="str">
        <f t="shared" si="12"/>
        <v> Martinez</v>
      </c>
      <c r="M46" s="180"/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Gathy</v>
      </c>
      <c r="D47" s="180"/>
      <c r="E47" s="181"/>
      <c r="K47" s="129">
        <f t="shared" si="11"/>
        <v>19</v>
      </c>
      <c r="L47" s="156" t="str">
        <f t="shared" si="12"/>
        <v> Grissinger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Mies</v>
      </c>
      <c r="D48" s="180"/>
      <c r="E48" s="181"/>
      <c r="K48" s="135">
        <f t="shared" si="11"/>
        <v>20</v>
      </c>
      <c r="L48" s="156" t="str">
        <f t="shared" si="12"/>
        <v> Martinez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Gathy</v>
      </c>
      <c r="D49" s="178"/>
      <c r="E49" s="179"/>
      <c r="K49" s="129">
        <f t="shared" si="11"/>
        <v>20</v>
      </c>
      <c r="L49" s="156" t="str">
        <f t="shared" si="12"/>
        <v> Grissinger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Mies</v>
      </c>
      <c r="D50" s="180"/>
      <c r="E50" s="181"/>
      <c r="K50" s="129">
        <f t="shared" si="11"/>
        <v>21</v>
      </c>
      <c r="L50" s="156" t="str">
        <f t="shared" si="12"/>
        <v> Martinez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Gathy</v>
      </c>
      <c r="D51" s="180"/>
      <c r="E51" s="181"/>
      <c r="K51" s="135">
        <f t="shared" si="11"/>
        <v>21</v>
      </c>
      <c r="L51" s="156" t="str">
        <f t="shared" si="12"/>
        <v> Grissinger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Mies</v>
      </c>
      <c r="D52" s="178"/>
      <c r="E52" s="181"/>
      <c r="K52" s="129">
        <f t="shared" si="11"/>
        <v>22</v>
      </c>
      <c r="L52" s="156" t="str">
        <f t="shared" si="12"/>
        <v> Martinez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Gathy</v>
      </c>
      <c r="D53" s="178"/>
      <c r="E53" s="181"/>
      <c r="K53" s="135">
        <f t="shared" si="11"/>
        <v>22</v>
      </c>
      <c r="L53" s="156" t="str">
        <f t="shared" si="12"/>
        <v> Grissinger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Mies</v>
      </c>
      <c r="D54" s="178"/>
      <c r="E54" s="181"/>
      <c r="K54" s="129">
        <f t="shared" si="11"/>
        <v>23</v>
      </c>
      <c r="L54" s="156" t="str">
        <f t="shared" si="12"/>
        <v> Martinez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Gathy</v>
      </c>
      <c r="D55" s="178"/>
      <c r="E55" s="181"/>
      <c r="K55" s="135">
        <f t="shared" si="11"/>
        <v>23</v>
      </c>
      <c r="L55" s="156" t="str">
        <f t="shared" si="12"/>
        <v> Grissinger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Mies</v>
      </c>
      <c r="D56" s="178"/>
      <c r="E56" s="181"/>
      <c r="K56" s="129">
        <f t="shared" si="11"/>
        <v>24</v>
      </c>
      <c r="L56" s="156" t="str">
        <f t="shared" si="12"/>
        <v> Martinez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Gathy</v>
      </c>
      <c r="D57" s="178"/>
      <c r="E57" s="181"/>
      <c r="K57" s="129">
        <f t="shared" si="11"/>
        <v>24</v>
      </c>
      <c r="L57" s="156" t="str">
        <f t="shared" si="12"/>
        <v> Grissinger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Mies</v>
      </c>
      <c r="D58" s="178"/>
      <c r="E58" s="181"/>
      <c r="K58" s="135">
        <f t="shared" si="11"/>
        <v>25</v>
      </c>
      <c r="L58" s="156" t="str">
        <f t="shared" si="12"/>
        <v> Martinez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Gathy</v>
      </c>
      <c r="D59" s="178"/>
      <c r="E59" s="181"/>
      <c r="K59" s="129">
        <f t="shared" si="11"/>
        <v>25</v>
      </c>
      <c r="L59" s="156" t="str">
        <f t="shared" si="12"/>
        <v> Grissinger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Mies</v>
      </c>
      <c r="D60" s="178"/>
      <c r="E60" s="181"/>
      <c r="K60" s="135">
        <f t="shared" si="11"/>
        <v>26</v>
      </c>
      <c r="L60" s="156" t="str">
        <f t="shared" si="12"/>
        <v> Martinez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Gathy</v>
      </c>
      <c r="D61" s="178"/>
      <c r="E61" s="181"/>
      <c r="K61" s="129">
        <f t="shared" si="11"/>
        <v>26</v>
      </c>
      <c r="L61" s="156" t="str">
        <f t="shared" si="12"/>
        <v> Grissinger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Mies</v>
      </c>
      <c r="D62" s="178"/>
      <c r="E62" s="181"/>
      <c r="K62" s="135">
        <f t="shared" si="11"/>
        <v>27</v>
      </c>
      <c r="L62" s="156" t="str">
        <f t="shared" si="12"/>
        <v> Martinez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Gathy</v>
      </c>
      <c r="D63" s="178"/>
      <c r="E63" s="181"/>
      <c r="K63" s="129">
        <f t="shared" si="11"/>
        <v>27</v>
      </c>
      <c r="L63" s="156" t="str">
        <f t="shared" si="12"/>
        <v> Grissinger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Mies</v>
      </c>
      <c r="D64" s="178"/>
      <c r="E64" s="181"/>
      <c r="K64" s="135">
        <f t="shared" si="11"/>
        <v>28</v>
      </c>
      <c r="L64" s="156" t="str">
        <f t="shared" si="12"/>
        <v> Martinez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Gathy</v>
      </c>
      <c r="D65" s="178"/>
      <c r="E65" s="181"/>
      <c r="K65" s="129">
        <f t="shared" si="11"/>
        <v>28</v>
      </c>
      <c r="L65" s="156" t="str">
        <f t="shared" si="12"/>
        <v> Grissinger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Mies</v>
      </c>
      <c r="D66" s="178"/>
      <c r="E66" s="181"/>
      <c r="K66" s="135">
        <f t="shared" si="11"/>
        <v>29</v>
      </c>
      <c r="L66" s="156" t="str">
        <f t="shared" si="12"/>
        <v> Martinez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Gathy</v>
      </c>
      <c r="D67" s="178"/>
      <c r="E67" s="181"/>
      <c r="K67" s="135">
        <f t="shared" si="11"/>
        <v>29</v>
      </c>
      <c r="L67" s="156" t="str">
        <f t="shared" si="12"/>
        <v> Grissinger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Mies</v>
      </c>
      <c r="D68" s="178"/>
      <c r="E68" s="181"/>
      <c r="K68" s="135">
        <f t="shared" si="11"/>
        <v>30</v>
      </c>
      <c r="L68" s="156" t="str">
        <f t="shared" si="12"/>
        <v> Martinez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Gathy</v>
      </c>
      <c r="D69" s="178"/>
      <c r="E69" s="181"/>
      <c r="K69" s="135">
        <f t="shared" si="11"/>
        <v>30</v>
      </c>
      <c r="L69" s="156" t="str">
        <f t="shared" si="12"/>
        <v> Grissinger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Mies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Martinez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Gathy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Grissinger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Mies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Martinez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Gathy</v>
      </c>
      <c r="D73" s="178"/>
      <c r="E73" s="181"/>
      <c r="K73" s="129">
        <v>32.0</v>
      </c>
      <c r="L73" s="156" t="str">
        <f t="shared" si="12"/>
        <v> Grissinger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Mies</v>
      </c>
      <c r="D74" s="192"/>
      <c r="E74" s="181"/>
      <c r="K74" s="129">
        <v>33.0</v>
      </c>
      <c r="L74" s="156" t="str">
        <f t="shared" si="12"/>
        <v> Martinez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Gathy</v>
      </c>
      <c r="D75" s="178"/>
      <c r="E75" s="181"/>
      <c r="K75" s="129">
        <v>33.0</v>
      </c>
      <c r="L75" s="156" t="str">
        <f t="shared" si="12"/>
        <v> Grissinger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Mies</v>
      </c>
      <c r="D76" s="178"/>
      <c r="E76" s="181"/>
      <c r="K76" s="129">
        <v>34.0</v>
      </c>
      <c r="L76" s="156" t="str">
        <f t="shared" si="12"/>
        <v> Martinez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Gathy</v>
      </c>
      <c r="D77" s="178"/>
      <c r="E77" s="181"/>
      <c r="K77" s="129">
        <v>34.0</v>
      </c>
      <c r="L77" s="156" t="str">
        <f t="shared" si="12"/>
        <v> Grissinger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Mies</v>
      </c>
      <c r="D78" s="178"/>
      <c r="E78" s="181"/>
      <c r="K78" s="129">
        <v>35.0</v>
      </c>
      <c r="L78" s="156" t="str">
        <f t="shared" si="12"/>
        <v> Martinez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Gathy</v>
      </c>
      <c r="D79" s="178"/>
      <c r="E79" s="181"/>
      <c r="K79" s="129">
        <v>35.0</v>
      </c>
      <c r="L79" s="156" t="str">
        <f t="shared" si="12"/>
        <v> Grissinger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Mies</v>
      </c>
      <c r="D80" s="178"/>
      <c r="E80" s="181"/>
      <c r="K80" s="129">
        <v>36.0</v>
      </c>
      <c r="L80" s="156" t="str">
        <f t="shared" si="12"/>
        <v> Martinez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Gathy</v>
      </c>
      <c r="D81" s="178"/>
      <c r="E81" s="181"/>
      <c r="K81" s="129">
        <v>36.0</v>
      </c>
      <c r="L81" s="156" t="str">
        <f t="shared" si="12"/>
        <v> Grissinger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Mies</v>
      </c>
      <c r="D82" s="178"/>
      <c r="E82" s="181"/>
      <c r="K82" s="129">
        <v>37.0</v>
      </c>
      <c r="L82" s="156" t="str">
        <f t="shared" si="12"/>
        <v> Martinez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Gathy</v>
      </c>
      <c r="D83" s="178"/>
      <c r="E83" s="181"/>
      <c r="K83" s="129">
        <v>37.0</v>
      </c>
      <c r="L83" s="156" t="str">
        <f t="shared" si="12"/>
        <v> Grissinger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Mies</v>
      </c>
      <c r="D84" s="178"/>
      <c r="E84" s="181"/>
      <c r="K84" s="129">
        <v>38.0</v>
      </c>
      <c r="L84" s="156" t="str">
        <f t="shared" si="12"/>
        <v> Martinez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Gathy</v>
      </c>
      <c r="D85" s="178"/>
      <c r="E85" s="181"/>
      <c r="K85" s="129">
        <v>38.0</v>
      </c>
      <c r="L85" s="156" t="str">
        <f t="shared" si="12"/>
        <v> Grissinger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Mies</v>
      </c>
      <c r="D86" s="178"/>
      <c r="E86" s="181"/>
      <c r="K86" s="129">
        <v>39.0</v>
      </c>
      <c r="L86" s="156" t="str">
        <f t="shared" si="12"/>
        <v> Martinez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Gathy</v>
      </c>
      <c r="D87" s="178"/>
      <c r="E87" s="181"/>
      <c r="K87" s="129">
        <v>39.0</v>
      </c>
      <c r="L87" s="156" t="str">
        <f t="shared" si="12"/>
        <v> Grissinger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Mies</v>
      </c>
      <c r="D88" s="178"/>
      <c r="E88" s="181"/>
      <c r="K88" s="129">
        <v>40.0</v>
      </c>
      <c r="L88" s="156" t="str">
        <f t="shared" si="12"/>
        <v> Martinez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Gathy</v>
      </c>
      <c r="D89" s="178"/>
      <c r="E89" s="181"/>
      <c r="K89" s="129">
        <v>40.0</v>
      </c>
      <c r="L89" s="156" t="str">
        <f t="shared" si="12"/>
        <v> Grissinger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0.13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86</v>
      </c>
      <c r="D3" s="189">
        <f t="shared" ref="D3:J3" si="1">SUMPRODUCT(D10:D90,MOD(ROW(D10:D90),2)=0)</f>
        <v>10</v>
      </c>
      <c r="E3" s="189">
        <f t="shared" si="1"/>
        <v>5</v>
      </c>
      <c r="F3" s="189">
        <f t="shared" si="1"/>
        <v>1</v>
      </c>
      <c r="G3" s="189">
        <f t="shared" si="1"/>
        <v>0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77</v>
      </c>
      <c r="M3" s="189">
        <f t="shared" ref="M3:S3" si="2">SUMPRODUCT(M10:M90,MOD(ROW(M10:M90),2)=0)</f>
        <v>10</v>
      </c>
      <c r="N3" s="189">
        <f t="shared" si="2"/>
        <v>5</v>
      </c>
      <c r="O3" s="189">
        <f t="shared" si="2"/>
        <v>1</v>
      </c>
      <c r="P3" s="189">
        <f t="shared" si="2"/>
        <v>1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127</v>
      </c>
      <c r="D4" s="191">
        <f t="shared" ref="D4:J4" si="3">SUMPRODUCT(D10:D90,MOD(ROW(D10:D90),2))</f>
        <v>12</v>
      </c>
      <c r="E4" s="191">
        <f t="shared" si="3"/>
        <v>3</v>
      </c>
      <c r="F4" s="191">
        <f t="shared" si="3"/>
        <v>0</v>
      </c>
      <c r="G4" s="191">
        <f t="shared" si="3"/>
        <v>0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101</v>
      </c>
      <c r="M4" s="191">
        <f t="shared" ref="M4:S4" si="4">SUMPRODUCT(M10:M90,MOD(ROW(M10:M90),2))</f>
        <v>11</v>
      </c>
      <c r="N4" s="191">
        <f t="shared" si="4"/>
        <v>5</v>
      </c>
      <c r="O4" s="191">
        <f t="shared" si="4"/>
        <v>0</v>
      </c>
      <c r="P4" s="191">
        <f t="shared" si="4"/>
        <v>0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 Tolsma %</v>
      </c>
      <c r="D5" s="137">
        <f t="shared" ref="D5:D6" si="6">IFERROR((E3/(E3+D3)),0)</f>
        <v>0.3333333333</v>
      </c>
      <c r="K5" s="135"/>
      <c r="L5" s="136" t="str">
        <f t="shared" ref="L5:L6" si="7">IFERROR((L10 &amp;" %"), "")</f>
        <v> Schreder %</v>
      </c>
      <c r="M5" s="137">
        <f t="shared" ref="M5:M6" si="8">IFERROR((N3/(N3+M3)),0)</f>
        <v>0.3333333333</v>
      </c>
      <c r="S5" s="132"/>
      <c r="T5" s="132"/>
      <c r="U5" s="7"/>
    </row>
    <row r="6">
      <c r="A6" s="14"/>
      <c r="B6" s="138"/>
      <c r="C6" s="139" t="str">
        <f t="shared" si="5"/>
        <v> Garcia %</v>
      </c>
      <c r="D6" s="140">
        <f t="shared" si="6"/>
        <v>0.2</v>
      </c>
      <c r="E6" s="141"/>
      <c r="F6" s="141"/>
      <c r="G6" s="141"/>
      <c r="H6" s="141"/>
      <c r="I6" s="141"/>
      <c r="J6" s="141"/>
      <c r="K6" s="138"/>
      <c r="L6" s="139" t="str">
        <f t="shared" si="7"/>
        <v> and Matian %</v>
      </c>
      <c r="M6" s="142">
        <f t="shared" si="8"/>
        <v>0.3125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tr">
        <f>IFERROR(__xludf.DUMMYFUNCTION("REGEXEXTRACT(C3, ""( .*)+"")")," Tolsma")</f>
        <v> Tolsma</v>
      </c>
      <c r="D10" s="180">
        <v>1.0</v>
      </c>
      <c r="E10" s="181"/>
      <c r="F10" s="136">
        <v>1.0</v>
      </c>
      <c r="G10" s="136"/>
      <c r="K10" s="129">
        <v>1.0</v>
      </c>
      <c r="L10" s="136" t="str">
        <f>IFERROR(__xludf.DUMMYFUNCTION("REGEXEXTRACT(L3, ""( .*)+"")")," Schreder")</f>
        <v> Schreder</v>
      </c>
      <c r="M10" s="180">
        <v>1.0</v>
      </c>
      <c r="N10" s="179"/>
      <c r="O10" s="136">
        <v>1.0</v>
      </c>
      <c r="P10" s="186"/>
      <c r="T10" s="132"/>
      <c r="U10" s="7"/>
    </row>
    <row r="11">
      <c r="A11" s="8"/>
      <c r="B11" s="129">
        <v>1.0</v>
      </c>
      <c r="C11" s="136" t="str">
        <f>IFERROR(__xludf.DUMMYFUNCTION("REGEXEXTRACT(C4, ""( .*)+"")")," Garcia")</f>
        <v> Garcia</v>
      </c>
      <c r="D11" s="180"/>
      <c r="E11" s="179">
        <v>1.0</v>
      </c>
      <c r="K11" s="129">
        <v>1.0</v>
      </c>
      <c r="L11" s="136" t="str">
        <f>IFERROR(__xludf.DUMMYFUNCTION("REGEXEXTRACT(L4, ""( .*)+"")")," and Matian")</f>
        <v> and Matian</v>
      </c>
      <c r="M11" s="180">
        <v>1.0</v>
      </c>
      <c r="N11" s="179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 Tolsma</v>
      </c>
      <c r="D12" s="180"/>
      <c r="E12" s="179">
        <v>1.0</v>
      </c>
      <c r="K12" s="129">
        <f t="shared" ref="K12:K69" si="11">K10+1</f>
        <v>2</v>
      </c>
      <c r="L12" s="156" t="str">
        <f t="shared" ref="L12:L89" si="12">L10</f>
        <v> Schreder</v>
      </c>
      <c r="M12" s="180"/>
      <c r="N12" s="179">
        <v>1.0</v>
      </c>
      <c r="T12" s="132"/>
      <c r="U12" s="7"/>
    </row>
    <row r="13">
      <c r="A13" s="14"/>
      <c r="B13" s="135">
        <f t="shared" si="9"/>
        <v>2</v>
      </c>
      <c r="C13" s="156" t="str">
        <f t="shared" si="10"/>
        <v> Garcia</v>
      </c>
      <c r="D13" s="180">
        <v>1.0</v>
      </c>
      <c r="E13" s="179"/>
      <c r="K13" s="135">
        <f t="shared" si="11"/>
        <v>2</v>
      </c>
      <c r="L13" s="156" t="str">
        <f t="shared" si="12"/>
        <v> and Matian</v>
      </c>
      <c r="M13" s="180">
        <v>1.0</v>
      </c>
      <c r="N13" s="181"/>
      <c r="T13" s="132"/>
      <c r="U13" s="7"/>
    </row>
    <row r="14">
      <c r="A14" s="8"/>
      <c r="B14" s="129">
        <f t="shared" si="9"/>
        <v>3</v>
      </c>
      <c r="C14" s="156" t="str">
        <f t="shared" si="10"/>
        <v> Tolsma</v>
      </c>
      <c r="D14" s="180">
        <v>1.0</v>
      </c>
      <c r="E14" s="179"/>
      <c r="K14" s="129">
        <f t="shared" si="11"/>
        <v>3</v>
      </c>
      <c r="L14" s="156" t="str">
        <f t="shared" si="12"/>
        <v> Schreder</v>
      </c>
      <c r="M14" s="180">
        <v>1.0</v>
      </c>
      <c r="N14" s="181"/>
      <c r="T14" s="132"/>
      <c r="U14" s="7"/>
    </row>
    <row r="15">
      <c r="A15" s="14"/>
      <c r="B15" s="135">
        <f t="shared" si="9"/>
        <v>3</v>
      </c>
      <c r="C15" s="156" t="str">
        <f t="shared" si="10"/>
        <v> Garcia</v>
      </c>
      <c r="D15" s="180"/>
      <c r="E15" s="179">
        <v>1.0</v>
      </c>
      <c r="K15" s="135">
        <f t="shared" si="11"/>
        <v>3</v>
      </c>
      <c r="L15" s="156" t="str">
        <f t="shared" si="12"/>
        <v> and Matian</v>
      </c>
      <c r="M15" s="180">
        <v>1.0</v>
      </c>
      <c r="N15" s="181"/>
      <c r="T15" s="132"/>
      <c r="U15" s="7"/>
    </row>
    <row r="16">
      <c r="A16" s="8"/>
      <c r="B16" s="129">
        <f t="shared" si="9"/>
        <v>4</v>
      </c>
      <c r="C16" s="156" t="str">
        <f t="shared" si="10"/>
        <v> Tolsma</v>
      </c>
      <c r="D16" s="180">
        <v>1.0</v>
      </c>
      <c r="E16" s="181"/>
      <c r="K16" s="129">
        <f t="shared" si="11"/>
        <v>4</v>
      </c>
      <c r="L16" s="156" t="str">
        <f t="shared" si="12"/>
        <v> Schreder</v>
      </c>
      <c r="M16" s="180"/>
      <c r="N16" s="179">
        <v>1.0</v>
      </c>
      <c r="T16" s="132"/>
      <c r="U16" s="7"/>
    </row>
    <row r="17">
      <c r="A17" s="14"/>
      <c r="B17" s="135">
        <f t="shared" si="9"/>
        <v>4</v>
      </c>
      <c r="C17" s="156" t="str">
        <f t="shared" si="10"/>
        <v> Garcia</v>
      </c>
      <c r="D17" s="180">
        <v>1.0</v>
      </c>
      <c r="E17" s="179"/>
      <c r="K17" s="135">
        <f t="shared" si="11"/>
        <v>4</v>
      </c>
      <c r="L17" s="156" t="str">
        <f t="shared" si="12"/>
        <v> and Matian</v>
      </c>
      <c r="M17" s="180">
        <v>1.0</v>
      </c>
      <c r="N17" s="179"/>
      <c r="T17" s="132"/>
      <c r="U17" s="7"/>
    </row>
    <row r="18">
      <c r="A18" s="8"/>
      <c r="B18" s="129">
        <f t="shared" si="9"/>
        <v>5</v>
      </c>
      <c r="C18" s="156" t="str">
        <f t="shared" si="10"/>
        <v> Tolsma</v>
      </c>
      <c r="D18" s="180">
        <v>1.0</v>
      </c>
      <c r="E18" s="179"/>
      <c r="K18" s="129">
        <f t="shared" si="11"/>
        <v>5</v>
      </c>
      <c r="L18" s="156" t="str">
        <f t="shared" si="12"/>
        <v> Schreder</v>
      </c>
      <c r="M18" s="180">
        <v>1.0</v>
      </c>
      <c r="N18" s="181"/>
      <c r="T18" s="132"/>
      <c r="U18" s="7"/>
    </row>
    <row r="19">
      <c r="A19" s="14"/>
      <c r="B19" s="135">
        <f t="shared" si="9"/>
        <v>5</v>
      </c>
      <c r="C19" s="156" t="str">
        <f t="shared" si="10"/>
        <v> Garcia</v>
      </c>
      <c r="D19" s="180"/>
      <c r="E19" s="179">
        <v>1.0</v>
      </c>
      <c r="K19" s="135">
        <f t="shared" si="11"/>
        <v>5</v>
      </c>
      <c r="L19" s="156" t="str">
        <f t="shared" si="12"/>
        <v> and Matian</v>
      </c>
      <c r="M19" s="180">
        <v>1.0</v>
      </c>
      <c r="N19" s="179"/>
      <c r="T19" s="132"/>
      <c r="U19" s="7"/>
    </row>
    <row r="20">
      <c r="A20" s="8"/>
      <c r="B20" s="129">
        <f t="shared" si="9"/>
        <v>6</v>
      </c>
      <c r="C20" s="156" t="str">
        <f t="shared" si="10"/>
        <v> Tolsma</v>
      </c>
      <c r="D20" s="178"/>
      <c r="E20" s="179">
        <v>1.0</v>
      </c>
      <c r="K20" s="129">
        <f t="shared" si="11"/>
        <v>6</v>
      </c>
      <c r="L20" s="156" t="str">
        <f t="shared" si="12"/>
        <v> Schreder</v>
      </c>
      <c r="M20" s="180"/>
      <c r="N20" s="179">
        <v>1.0</v>
      </c>
      <c r="T20" s="132"/>
      <c r="U20" s="7"/>
    </row>
    <row r="21">
      <c r="A21" s="14"/>
      <c r="B21" s="135">
        <f t="shared" si="9"/>
        <v>6</v>
      </c>
      <c r="C21" s="156" t="str">
        <f t="shared" si="10"/>
        <v> Garcia</v>
      </c>
      <c r="D21" s="180">
        <v>1.0</v>
      </c>
      <c r="E21" s="181"/>
      <c r="K21" s="135">
        <f t="shared" si="11"/>
        <v>6</v>
      </c>
      <c r="L21" s="156" t="str">
        <f t="shared" si="12"/>
        <v> and Matian</v>
      </c>
      <c r="M21" s="180"/>
      <c r="N21" s="179">
        <v>1.0</v>
      </c>
      <c r="T21" s="132"/>
      <c r="U21" s="7"/>
    </row>
    <row r="22">
      <c r="A22" s="8"/>
      <c r="B22" s="129">
        <f t="shared" si="9"/>
        <v>7</v>
      </c>
      <c r="C22" s="156" t="str">
        <f t="shared" si="10"/>
        <v> Tolsma</v>
      </c>
      <c r="D22" s="180">
        <v>1.0</v>
      </c>
      <c r="E22" s="181"/>
      <c r="K22" s="129">
        <f t="shared" si="11"/>
        <v>7</v>
      </c>
      <c r="L22" s="156" t="str">
        <f t="shared" si="12"/>
        <v> Schreder</v>
      </c>
      <c r="M22" s="180"/>
      <c r="N22" s="179">
        <v>1.0</v>
      </c>
      <c r="T22" s="132"/>
      <c r="U22" s="7"/>
    </row>
    <row r="23">
      <c r="A23" s="14"/>
      <c r="B23" s="135">
        <f t="shared" si="9"/>
        <v>7</v>
      </c>
      <c r="C23" s="156" t="str">
        <f t="shared" si="10"/>
        <v> Garcia</v>
      </c>
      <c r="D23" s="180">
        <v>1.0</v>
      </c>
      <c r="E23" s="181"/>
      <c r="K23" s="135">
        <f t="shared" si="11"/>
        <v>7</v>
      </c>
      <c r="L23" s="156" t="str">
        <f t="shared" si="12"/>
        <v> and Matian</v>
      </c>
      <c r="M23" s="180">
        <v>1.0</v>
      </c>
      <c r="N23" s="181"/>
      <c r="T23" s="132"/>
      <c r="U23" s="7"/>
    </row>
    <row r="24">
      <c r="A24" s="8"/>
      <c r="B24" s="129">
        <f t="shared" si="9"/>
        <v>8</v>
      </c>
      <c r="C24" s="156" t="str">
        <f t="shared" si="10"/>
        <v> Tolsma</v>
      </c>
      <c r="D24" s="180">
        <v>1.0</v>
      </c>
      <c r="E24" s="181"/>
      <c r="K24" s="129">
        <f t="shared" si="11"/>
        <v>8</v>
      </c>
      <c r="L24" s="156" t="str">
        <f t="shared" si="12"/>
        <v> Schreder</v>
      </c>
      <c r="M24" s="180">
        <v>1.0</v>
      </c>
      <c r="N24" s="181"/>
      <c r="T24" s="132"/>
      <c r="U24" s="7"/>
    </row>
    <row r="25">
      <c r="A25" s="14"/>
      <c r="B25" s="135">
        <f t="shared" si="9"/>
        <v>8</v>
      </c>
      <c r="C25" s="156" t="str">
        <f t="shared" si="10"/>
        <v> Garcia</v>
      </c>
      <c r="D25" s="180">
        <v>1.0</v>
      </c>
      <c r="E25" s="181"/>
      <c r="K25" s="135">
        <f t="shared" si="11"/>
        <v>8</v>
      </c>
      <c r="L25" s="156" t="str">
        <f t="shared" si="12"/>
        <v> and Matian</v>
      </c>
      <c r="M25" s="178"/>
      <c r="N25" s="179">
        <v>1.0</v>
      </c>
      <c r="T25" s="132"/>
      <c r="U25" s="7"/>
    </row>
    <row r="26">
      <c r="A26" s="8"/>
      <c r="B26" s="129">
        <f t="shared" si="9"/>
        <v>9</v>
      </c>
      <c r="C26" s="156" t="str">
        <f t="shared" si="10"/>
        <v> Tolsma</v>
      </c>
      <c r="D26" s="180">
        <v>1.0</v>
      </c>
      <c r="E26" s="181"/>
      <c r="K26" s="129">
        <f t="shared" si="11"/>
        <v>9</v>
      </c>
      <c r="L26" s="156" t="str">
        <f t="shared" si="12"/>
        <v> Schreder</v>
      </c>
      <c r="M26" s="180">
        <v>1.0</v>
      </c>
      <c r="N26" s="181"/>
      <c r="T26" s="132"/>
      <c r="U26" s="7"/>
    </row>
    <row r="27">
      <c r="A27" s="14"/>
      <c r="B27" s="135">
        <f t="shared" si="9"/>
        <v>9</v>
      </c>
      <c r="C27" s="156" t="str">
        <f t="shared" si="10"/>
        <v> Garcia</v>
      </c>
      <c r="D27" s="180">
        <v>1.0</v>
      </c>
      <c r="E27" s="181"/>
      <c r="K27" s="135">
        <f t="shared" si="11"/>
        <v>9</v>
      </c>
      <c r="L27" s="156" t="str">
        <f t="shared" si="12"/>
        <v> and Matian</v>
      </c>
      <c r="M27" s="180">
        <v>1.0</v>
      </c>
      <c r="N27" s="181"/>
      <c r="T27" s="132"/>
      <c r="U27" s="7"/>
    </row>
    <row r="28">
      <c r="A28" s="8"/>
      <c r="B28" s="129">
        <f t="shared" si="9"/>
        <v>10</v>
      </c>
      <c r="C28" s="156" t="str">
        <f t="shared" si="10"/>
        <v> Tolsma</v>
      </c>
      <c r="D28" s="180"/>
      <c r="E28" s="179">
        <v>1.0</v>
      </c>
      <c r="K28" s="129">
        <f t="shared" si="11"/>
        <v>10</v>
      </c>
      <c r="L28" s="156" t="str">
        <f t="shared" si="12"/>
        <v> Schreder</v>
      </c>
      <c r="M28" s="180">
        <v>1.0</v>
      </c>
      <c r="N28" s="181"/>
      <c r="T28" s="132"/>
      <c r="U28" s="7"/>
    </row>
    <row r="29">
      <c r="A29" s="14"/>
      <c r="B29" s="135">
        <f t="shared" si="9"/>
        <v>10</v>
      </c>
      <c r="C29" s="156" t="str">
        <f t="shared" si="10"/>
        <v> Garcia</v>
      </c>
      <c r="D29" s="180">
        <v>1.0</v>
      </c>
      <c r="E29" s="181"/>
      <c r="K29" s="135">
        <f t="shared" si="11"/>
        <v>10</v>
      </c>
      <c r="L29" s="156" t="str">
        <f t="shared" si="12"/>
        <v> and Matian</v>
      </c>
      <c r="M29" s="180">
        <v>1.0</v>
      </c>
      <c r="N29" s="181"/>
      <c r="T29" s="132"/>
      <c r="U29" s="7"/>
    </row>
    <row r="30">
      <c r="A30" s="8"/>
      <c r="B30" s="129">
        <f t="shared" si="9"/>
        <v>11</v>
      </c>
      <c r="C30" s="156" t="str">
        <f t="shared" si="10"/>
        <v> Tolsma</v>
      </c>
      <c r="D30" s="180"/>
      <c r="E30" s="179">
        <v>1.0</v>
      </c>
      <c r="K30" s="129">
        <f t="shared" si="11"/>
        <v>11</v>
      </c>
      <c r="L30" s="156" t="str">
        <f t="shared" si="12"/>
        <v> Schreder</v>
      </c>
      <c r="M30" s="180">
        <v>1.0</v>
      </c>
      <c r="N30" s="181"/>
      <c r="T30" s="132"/>
      <c r="U30" s="7"/>
    </row>
    <row r="31">
      <c r="A31" s="14"/>
      <c r="B31" s="135">
        <f t="shared" si="9"/>
        <v>11</v>
      </c>
      <c r="C31" s="156" t="str">
        <f t="shared" si="10"/>
        <v> Garcia</v>
      </c>
      <c r="D31" s="180">
        <v>1.0</v>
      </c>
      <c r="E31" s="181"/>
      <c r="K31" s="135">
        <f t="shared" si="11"/>
        <v>11</v>
      </c>
      <c r="L31" s="156" t="str">
        <f t="shared" si="12"/>
        <v> and Matian</v>
      </c>
      <c r="M31" s="180">
        <v>1.0</v>
      </c>
      <c r="N31" s="179"/>
      <c r="T31" s="132"/>
      <c r="U31" s="7"/>
    </row>
    <row r="32">
      <c r="A32" s="8"/>
      <c r="B32" s="129">
        <f t="shared" si="9"/>
        <v>12</v>
      </c>
      <c r="C32" s="156" t="str">
        <f t="shared" si="10"/>
        <v> Tolsma</v>
      </c>
      <c r="D32" s="180">
        <v>1.0</v>
      </c>
      <c r="E32" s="181"/>
      <c r="K32" s="129">
        <f t="shared" si="11"/>
        <v>12</v>
      </c>
      <c r="L32" s="156" t="str">
        <f t="shared" si="12"/>
        <v> Schreder</v>
      </c>
      <c r="M32" s="180">
        <v>1.0</v>
      </c>
      <c r="N32" s="181"/>
      <c r="T32" s="132"/>
      <c r="U32" s="7"/>
    </row>
    <row r="33">
      <c r="A33" s="14"/>
      <c r="B33" s="135">
        <f t="shared" si="9"/>
        <v>12</v>
      </c>
      <c r="C33" s="156" t="str">
        <f t="shared" si="10"/>
        <v> Garcia</v>
      </c>
      <c r="D33" s="180">
        <v>1.0</v>
      </c>
      <c r="E33" s="181"/>
      <c r="K33" s="135">
        <f t="shared" si="11"/>
        <v>12</v>
      </c>
      <c r="L33" s="156" t="str">
        <f t="shared" si="12"/>
        <v> and Matian</v>
      </c>
      <c r="M33" s="178"/>
      <c r="N33" s="179">
        <v>1.0</v>
      </c>
      <c r="T33" s="132"/>
      <c r="U33" s="7"/>
    </row>
    <row r="34">
      <c r="A34" s="8"/>
      <c r="B34" s="129">
        <f t="shared" si="9"/>
        <v>13</v>
      </c>
      <c r="C34" s="156" t="str">
        <f t="shared" si="10"/>
        <v> Tolsma</v>
      </c>
      <c r="D34" s="180"/>
      <c r="E34" s="179">
        <v>1.0</v>
      </c>
      <c r="K34" s="129">
        <f t="shared" si="11"/>
        <v>13</v>
      </c>
      <c r="L34" s="156" t="str">
        <f t="shared" si="12"/>
        <v> Schreder</v>
      </c>
      <c r="M34" s="180">
        <v>1.0</v>
      </c>
      <c r="N34" s="181"/>
      <c r="P34" s="136">
        <v>1.0</v>
      </c>
      <c r="T34" s="132"/>
      <c r="U34" s="7"/>
    </row>
    <row r="35">
      <c r="A35" s="14"/>
      <c r="B35" s="135">
        <f t="shared" si="9"/>
        <v>13</v>
      </c>
      <c r="C35" s="156" t="str">
        <f t="shared" si="10"/>
        <v> Garcia</v>
      </c>
      <c r="D35" s="180">
        <v>1.0</v>
      </c>
      <c r="E35" s="181"/>
      <c r="K35" s="135">
        <f t="shared" si="11"/>
        <v>13</v>
      </c>
      <c r="L35" s="156" t="str">
        <f t="shared" si="12"/>
        <v> and Matian</v>
      </c>
      <c r="M35" s="180">
        <v>1.0</v>
      </c>
      <c r="N35" s="181"/>
      <c r="T35" s="132"/>
      <c r="U35" s="7"/>
    </row>
    <row r="36">
      <c r="A36" s="8"/>
      <c r="B36" s="129">
        <f t="shared" si="9"/>
        <v>14</v>
      </c>
      <c r="C36" s="156" t="str">
        <f t="shared" si="10"/>
        <v> Tolsma</v>
      </c>
      <c r="D36" s="180">
        <v>1.0</v>
      </c>
      <c r="E36" s="181"/>
      <c r="K36" s="129">
        <f t="shared" si="11"/>
        <v>14</v>
      </c>
      <c r="L36" s="156" t="str">
        <f t="shared" si="12"/>
        <v> Schreder</v>
      </c>
      <c r="M36" s="180"/>
      <c r="N36" s="179">
        <v>1.0</v>
      </c>
      <c r="T36" s="132"/>
      <c r="U36" s="7"/>
    </row>
    <row r="37">
      <c r="A37" s="14"/>
      <c r="B37" s="135">
        <f t="shared" si="9"/>
        <v>14</v>
      </c>
      <c r="C37" s="156" t="str">
        <f t="shared" si="10"/>
        <v> Garcia</v>
      </c>
      <c r="D37" s="180">
        <v>1.0</v>
      </c>
      <c r="E37" s="181"/>
      <c r="K37" s="135">
        <f t="shared" si="11"/>
        <v>14</v>
      </c>
      <c r="L37" s="156" t="str">
        <f t="shared" si="12"/>
        <v> and Matian</v>
      </c>
      <c r="M37" s="180"/>
      <c r="N37" s="179">
        <v>1.0</v>
      </c>
      <c r="T37" s="132"/>
      <c r="U37" s="7"/>
    </row>
    <row r="38">
      <c r="A38" s="8"/>
      <c r="B38" s="129">
        <f t="shared" si="9"/>
        <v>15</v>
      </c>
      <c r="C38" s="156" t="str">
        <f t="shared" si="10"/>
        <v> Tolsma</v>
      </c>
      <c r="D38" s="180">
        <v>1.0</v>
      </c>
      <c r="E38" s="181"/>
      <c r="K38" s="129">
        <f t="shared" si="11"/>
        <v>15</v>
      </c>
      <c r="L38" s="156" t="str">
        <f t="shared" si="12"/>
        <v> Schreder</v>
      </c>
      <c r="M38" s="180">
        <v>1.0</v>
      </c>
      <c r="N38" s="181"/>
      <c r="T38" s="132"/>
      <c r="U38" s="7"/>
    </row>
    <row r="39">
      <c r="A39" s="14"/>
      <c r="B39" s="135">
        <f t="shared" si="9"/>
        <v>15</v>
      </c>
      <c r="C39" s="156" t="str">
        <f t="shared" si="10"/>
        <v> Garcia</v>
      </c>
      <c r="D39" s="180">
        <v>1.0</v>
      </c>
      <c r="E39" s="181"/>
      <c r="K39" s="135">
        <f t="shared" si="11"/>
        <v>15</v>
      </c>
      <c r="L39" s="156" t="str">
        <f t="shared" si="12"/>
        <v> and Matian</v>
      </c>
      <c r="M39" s="180">
        <v>1.0</v>
      </c>
      <c r="N39" s="181"/>
      <c r="T39" s="132"/>
      <c r="U39" s="7"/>
    </row>
    <row r="40">
      <c r="A40" s="8"/>
      <c r="B40" s="129">
        <f t="shared" si="9"/>
        <v>16</v>
      </c>
      <c r="C40" s="156" t="str">
        <f t="shared" si="10"/>
        <v> Tolsma</v>
      </c>
      <c r="D40" s="180"/>
      <c r="E40" s="179"/>
      <c r="K40" s="129">
        <f t="shared" si="11"/>
        <v>16</v>
      </c>
      <c r="L40" s="156" t="str">
        <f t="shared" si="12"/>
        <v> Schreder</v>
      </c>
      <c r="M40" s="180"/>
      <c r="N40" s="181"/>
      <c r="T40" s="132"/>
      <c r="U40" s="7"/>
    </row>
    <row r="41">
      <c r="A41" s="14"/>
      <c r="B41" s="135">
        <f t="shared" si="9"/>
        <v>16</v>
      </c>
      <c r="C41" s="156" t="str">
        <f t="shared" si="10"/>
        <v> Garcia</v>
      </c>
      <c r="D41" s="180"/>
      <c r="E41" s="181"/>
      <c r="K41" s="135">
        <f t="shared" si="11"/>
        <v>16</v>
      </c>
      <c r="L41" s="156" t="str">
        <f t="shared" si="12"/>
        <v> and Matian</v>
      </c>
      <c r="M41" s="178"/>
      <c r="N41" s="179">
        <v>1.0</v>
      </c>
      <c r="T41" s="132"/>
      <c r="U41" s="7"/>
    </row>
    <row r="42">
      <c r="A42" s="8"/>
      <c r="B42" s="129">
        <f t="shared" si="9"/>
        <v>17</v>
      </c>
      <c r="C42" s="156" t="str">
        <f t="shared" si="10"/>
        <v> Tolsma</v>
      </c>
      <c r="D42" s="180"/>
      <c r="E42" s="181"/>
      <c r="K42" s="129">
        <f t="shared" si="11"/>
        <v>17</v>
      </c>
      <c r="L42" s="156" t="str">
        <f t="shared" si="12"/>
        <v> Schreder</v>
      </c>
      <c r="M42" s="180"/>
      <c r="N42" s="181"/>
      <c r="T42" s="132"/>
      <c r="U42" s="7"/>
    </row>
    <row r="43">
      <c r="A43" s="14"/>
      <c r="B43" s="135">
        <f t="shared" si="9"/>
        <v>17</v>
      </c>
      <c r="C43" s="156" t="str">
        <f t="shared" si="10"/>
        <v> Garcia</v>
      </c>
      <c r="D43" s="178"/>
      <c r="E43" s="179"/>
      <c r="K43" s="135">
        <f t="shared" si="11"/>
        <v>17</v>
      </c>
      <c r="L43" s="156" t="str">
        <f t="shared" si="12"/>
        <v> and Matian</v>
      </c>
      <c r="M43" s="180"/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 Tolsma</v>
      </c>
      <c r="D44" s="180"/>
      <c r="E44" s="181"/>
      <c r="K44" s="129">
        <f t="shared" si="11"/>
        <v>18</v>
      </c>
      <c r="L44" s="156" t="str">
        <f t="shared" si="12"/>
        <v> Schreder</v>
      </c>
      <c r="M44" s="180"/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 Garcia</v>
      </c>
      <c r="D45" s="180"/>
      <c r="E45" s="181"/>
      <c r="K45" s="129">
        <f t="shared" si="11"/>
        <v>18</v>
      </c>
      <c r="L45" s="156" t="str">
        <f t="shared" si="12"/>
        <v> and Matian</v>
      </c>
      <c r="M45" s="180"/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 Tolsma</v>
      </c>
      <c r="D46" s="180"/>
      <c r="E46" s="181"/>
      <c r="K46" s="135">
        <f t="shared" si="11"/>
        <v>19</v>
      </c>
      <c r="L46" s="156" t="str">
        <f t="shared" si="12"/>
        <v> Schreder</v>
      </c>
      <c r="M46" s="180"/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 Garcia</v>
      </c>
      <c r="D47" s="180"/>
      <c r="E47" s="181"/>
      <c r="K47" s="129">
        <f t="shared" si="11"/>
        <v>19</v>
      </c>
      <c r="L47" s="156" t="str">
        <f t="shared" si="12"/>
        <v> and Matian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 Tolsma</v>
      </c>
      <c r="D48" s="180"/>
      <c r="E48" s="181"/>
      <c r="K48" s="135">
        <f t="shared" si="11"/>
        <v>20</v>
      </c>
      <c r="L48" s="156" t="str">
        <f t="shared" si="12"/>
        <v> Schreder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 Garcia</v>
      </c>
      <c r="D49" s="178"/>
      <c r="E49" s="179"/>
      <c r="K49" s="129">
        <f t="shared" si="11"/>
        <v>20</v>
      </c>
      <c r="L49" s="156" t="str">
        <f t="shared" si="12"/>
        <v> and Matian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 Tolsma</v>
      </c>
      <c r="D50" s="180"/>
      <c r="E50" s="181"/>
      <c r="K50" s="129">
        <f t="shared" si="11"/>
        <v>21</v>
      </c>
      <c r="L50" s="156" t="str">
        <f t="shared" si="12"/>
        <v> Schreder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 Garcia</v>
      </c>
      <c r="D51" s="180"/>
      <c r="E51" s="181"/>
      <c r="K51" s="135">
        <f t="shared" si="11"/>
        <v>21</v>
      </c>
      <c r="L51" s="156" t="str">
        <f t="shared" si="12"/>
        <v> and Matian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 Tolsma</v>
      </c>
      <c r="D52" s="178"/>
      <c r="E52" s="181"/>
      <c r="K52" s="129">
        <f t="shared" si="11"/>
        <v>22</v>
      </c>
      <c r="L52" s="156" t="str">
        <f t="shared" si="12"/>
        <v> Schreder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 Garcia</v>
      </c>
      <c r="D53" s="178"/>
      <c r="E53" s="181"/>
      <c r="K53" s="135">
        <f t="shared" si="11"/>
        <v>22</v>
      </c>
      <c r="L53" s="156" t="str">
        <f t="shared" si="12"/>
        <v> and Matian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 Tolsma</v>
      </c>
      <c r="D54" s="178"/>
      <c r="E54" s="181"/>
      <c r="K54" s="129">
        <f t="shared" si="11"/>
        <v>23</v>
      </c>
      <c r="L54" s="156" t="str">
        <f t="shared" si="12"/>
        <v> Schreder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 Garcia</v>
      </c>
      <c r="D55" s="178"/>
      <c r="E55" s="181"/>
      <c r="K55" s="135">
        <f t="shared" si="11"/>
        <v>23</v>
      </c>
      <c r="L55" s="156" t="str">
        <f t="shared" si="12"/>
        <v> and Matian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 Tolsma</v>
      </c>
      <c r="D56" s="178"/>
      <c r="E56" s="181"/>
      <c r="K56" s="129">
        <f t="shared" si="11"/>
        <v>24</v>
      </c>
      <c r="L56" s="156" t="str">
        <f t="shared" si="12"/>
        <v> Schreder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 Garcia</v>
      </c>
      <c r="D57" s="178"/>
      <c r="E57" s="181"/>
      <c r="K57" s="129">
        <f t="shared" si="11"/>
        <v>24</v>
      </c>
      <c r="L57" s="156" t="str">
        <f t="shared" si="12"/>
        <v> and Matian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 Tolsma</v>
      </c>
      <c r="D58" s="178"/>
      <c r="E58" s="181"/>
      <c r="K58" s="135">
        <f t="shared" si="11"/>
        <v>25</v>
      </c>
      <c r="L58" s="156" t="str">
        <f t="shared" si="12"/>
        <v> Schreder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 Garcia</v>
      </c>
      <c r="D59" s="178"/>
      <c r="E59" s="181"/>
      <c r="K59" s="129">
        <f t="shared" si="11"/>
        <v>25</v>
      </c>
      <c r="L59" s="156" t="str">
        <f t="shared" si="12"/>
        <v> and Matian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 Tolsma</v>
      </c>
      <c r="D60" s="178"/>
      <c r="E60" s="181"/>
      <c r="K60" s="135">
        <f t="shared" si="11"/>
        <v>26</v>
      </c>
      <c r="L60" s="156" t="str">
        <f t="shared" si="12"/>
        <v> Schreder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 Garcia</v>
      </c>
      <c r="D61" s="178"/>
      <c r="E61" s="181"/>
      <c r="K61" s="129">
        <f t="shared" si="11"/>
        <v>26</v>
      </c>
      <c r="L61" s="156" t="str">
        <f t="shared" si="12"/>
        <v> and Matian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 Tolsma</v>
      </c>
      <c r="D62" s="178"/>
      <c r="E62" s="181"/>
      <c r="K62" s="135">
        <f t="shared" si="11"/>
        <v>27</v>
      </c>
      <c r="L62" s="156" t="str">
        <f t="shared" si="12"/>
        <v> Schreder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 Garcia</v>
      </c>
      <c r="D63" s="178"/>
      <c r="E63" s="181"/>
      <c r="K63" s="129">
        <f t="shared" si="11"/>
        <v>27</v>
      </c>
      <c r="L63" s="156" t="str">
        <f t="shared" si="12"/>
        <v> and Matian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 Tolsma</v>
      </c>
      <c r="D64" s="178"/>
      <c r="E64" s="181"/>
      <c r="K64" s="135">
        <f t="shared" si="11"/>
        <v>28</v>
      </c>
      <c r="L64" s="156" t="str">
        <f t="shared" si="12"/>
        <v> Schreder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 Garcia</v>
      </c>
      <c r="D65" s="178"/>
      <c r="E65" s="181"/>
      <c r="K65" s="129">
        <f t="shared" si="11"/>
        <v>28</v>
      </c>
      <c r="L65" s="156" t="str">
        <f t="shared" si="12"/>
        <v> and Matian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 Tolsma</v>
      </c>
      <c r="D66" s="178"/>
      <c r="E66" s="181"/>
      <c r="K66" s="135">
        <f t="shared" si="11"/>
        <v>29</v>
      </c>
      <c r="L66" s="156" t="str">
        <f t="shared" si="12"/>
        <v> Schreder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 Garcia</v>
      </c>
      <c r="D67" s="178"/>
      <c r="E67" s="181"/>
      <c r="K67" s="135">
        <f t="shared" si="11"/>
        <v>29</v>
      </c>
      <c r="L67" s="156" t="str">
        <f t="shared" si="12"/>
        <v> and Matian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 Tolsma</v>
      </c>
      <c r="D68" s="178"/>
      <c r="E68" s="181"/>
      <c r="K68" s="135">
        <f t="shared" si="11"/>
        <v>30</v>
      </c>
      <c r="L68" s="156" t="str">
        <f t="shared" si="12"/>
        <v> Schreder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 Garcia</v>
      </c>
      <c r="D69" s="178"/>
      <c r="E69" s="181"/>
      <c r="K69" s="135">
        <f t="shared" si="11"/>
        <v>30</v>
      </c>
      <c r="L69" s="156" t="str">
        <f t="shared" si="12"/>
        <v> and Matian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 Tolsma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 Schreder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 Garcia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 and Matian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 Tolsma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 Schreder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 Garcia</v>
      </c>
      <c r="D73" s="178"/>
      <c r="E73" s="181"/>
      <c r="K73" s="129">
        <v>32.0</v>
      </c>
      <c r="L73" s="156" t="str">
        <f t="shared" si="12"/>
        <v> and Matian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 Tolsma</v>
      </c>
      <c r="D74" s="192"/>
      <c r="E74" s="181"/>
      <c r="K74" s="129">
        <v>33.0</v>
      </c>
      <c r="L74" s="156" t="str">
        <f t="shared" si="12"/>
        <v> Schreder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 Garcia</v>
      </c>
      <c r="D75" s="178"/>
      <c r="E75" s="181"/>
      <c r="K75" s="129">
        <v>33.0</v>
      </c>
      <c r="L75" s="156" t="str">
        <f t="shared" si="12"/>
        <v> and Matian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 Tolsma</v>
      </c>
      <c r="D76" s="178"/>
      <c r="E76" s="181"/>
      <c r="K76" s="129">
        <v>34.0</v>
      </c>
      <c r="L76" s="156" t="str">
        <f t="shared" si="12"/>
        <v> Schreder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 Garcia</v>
      </c>
      <c r="D77" s="178"/>
      <c r="E77" s="181"/>
      <c r="K77" s="129">
        <v>34.0</v>
      </c>
      <c r="L77" s="156" t="str">
        <f t="shared" si="12"/>
        <v> and Matian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 Tolsma</v>
      </c>
      <c r="D78" s="178"/>
      <c r="E78" s="181"/>
      <c r="K78" s="129">
        <v>35.0</v>
      </c>
      <c r="L78" s="156" t="str">
        <f t="shared" si="12"/>
        <v> Schreder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 Garcia</v>
      </c>
      <c r="D79" s="178"/>
      <c r="E79" s="181"/>
      <c r="K79" s="129">
        <v>35.0</v>
      </c>
      <c r="L79" s="156" t="str">
        <f t="shared" si="12"/>
        <v> and Matian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 Tolsma</v>
      </c>
      <c r="D80" s="178"/>
      <c r="E80" s="181"/>
      <c r="K80" s="129">
        <v>36.0</v>
      </c>
      <c r="L80" s="156" t="str">
        <f t="shared" si="12"/>
        <v> Schreder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 Garcia</v>
      </c>
      <c r="D81" s="178"/>
      <c r="E81" s="181"/>
      <c r="K81" s="129">
        <v>36.0</v>
      </c>
      <c r="L81" s="156" t="str">
        <f t="shared" si="12"/>
        <v> and Matian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 Tolsma</v>
      </c>
      <c r="D82" s="178"/>
      <c r="E82" s="181"/>
      <c r="K82" s="129">
        <v>37.0</v>
      </c>
      <c r="L82" s="156" t="str">
        <f t="shared" si="12"/>
        <v> Schreder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 Garcia</v>
      </c>
      <c r="D83" s="178"/>
      <c r="E83" s="181"/>
      <c r="K83" s="129">
        <v>37.0</v>
      </c>
      <c r="L83" s="156" t="str">
        <f t="shared" si="12"/>
        <v> and Matian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 Tolsma</v>
      </c>
      <c r="D84" s="178"/>
      <c r="E84" s="181"/>
      <c r="K84" s="129">
        <v>38.0</v>
      </c>
      <c r="L84" s="156" t="str">
        <f t="shared" si="12"/>
        <v> Schreder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 Garcia</v>
      </c>
      <c r="D85" s="178"/>
      <c r="E85" s="181"/>
      <c r="K85" s="129">
        <v>38.0</v>
      </c>
      <c r="L85" s="156" t="str">
        <f t="shared" si="12"/>
        <v> and Matian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 Tolsma</v>
      </c>
      <c r="D86" s="178"/>
      <c r="E86" s="181"/>
      <c r="K86" s="129">
        <v>39.0</v>
      </c>
      <c r="L86" s="156" t="str">
        <f t="shared" si="12"/>
        <v> Schreder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 Garcia</v>
      </c>
      <c r="D87" s="178"/>
      <c r="E87" s="181"/>
      <c r="K87" s="129">
        <v>39.0</v>
      </c>
      <c r="L87" s="156" t="str">
        <f t="shared" si="12"/>
        <v> and Matian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 Tolsma</v>
      </c>
      <c r="D88" s="178"/>
      <c r="E88" s="181"/>
      <c r="K88" s="129">
        <v>40.0</v>
      </c>
      <c r="L88" s="156" t="str">
        <f t="shared" si="12"/>
        <v> Schreder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 Garcia</v>
      </c>
      <c r="D89" s="178"/>
      <c r="E89" s="181"/>
      <c r="K89" s="129">
        <v>40.0</v>
      </c>
      <c r="L89" s="156" t="str">
        <f t="shared" si="12"/>
        <v> and Matian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0.13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95</v>
      </c>
      <c r="D3" s="189">
        <f t="shared" ref="D3:J3" si="1">SUMPRODUCT(D10:D90,MOD(ROW(D10:D90),2)=0)</f>
        <v>11</v>
      </c>
      <c r="E3" s="189">
        <f t="shared" si="1"/>
        <v>4</v>
      </c>
      <c r="F3" s="189">
        <f t="shared" si="1"/>
        <v>0</v>
      </c>
      <c r="G3" s="189">
        <f t="shared" si="1"/>
        <v>1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88</v>
      </c>
      <c r="M3" s="189">
        <f t="shared" ref="M3:S3" si="2">SUMPRODUCT(M10:M90,MOD(ROW(M10:M90),2)=0)</f>
        <v>10</v>
      </c>
      <c r="N3" s="189">
        <f t="shared" si="2"/>
        <v>3</v>
      </c>
      <c r="O3" s="189">
        <f t="shared" si="2"/>
        <v>2</v>
      </c>
      <c r="P3" s="189">
        <f t="shared" si="2"/>
        <v>0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74</v>
      </c>
      <c r="D4" s="191">
        <f t="shared" ref="D4:J4" si="3">SUMPRODUCT(D10:D90,MOD(ROW(D10:D90),2))</f>
        <v>8</v>
      </c>
      <c r="E4" s="191">
        <f t="shared" si="3"/>
        <v>6</v>
      </c>
      <c r="F4" s="191">
        <f t="shared" si="3"/>
        <v>1</v>
      </c>
      <c r="G4" s="191">
        <f t="shared" si="3"/>
        <v>1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78</v>
      </c>
      <c r="M4" s="191">
        <f t="shared" ref="M4:S4" si="4">SUMPRODUCT(M10:M90,MOD(ROW(M10:M90),2))</f>
        <v>9</v>
      </c>
      <c r="N4" s="191">
        <f t="shared" si="4"/>
        <v>4</v>
      </c>
      <c r="O4" s="191">
        <f t="shared" si="4"/>
        <v>1</v>
      </c>
      <c r="P4" s="191">
        <f t="shared" si="4"/>
        <v>0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Evan %</v>
      </c>
      <c r="D5" s="137">
        <f t="shared" ref="D5:D6" si="6">IFERROR((E3/(E3+D3)),0)</f>
        <v>0.2666666667</v>
      </c>
      <c r="K5" s="135"/>
      <c r="L5" s="136" t="str">
        <f t="shared" ref="L5:L6" si="7">IFERROR((L10 &amp;" %"), "")</f>
        <v>Max %</v>
      </c>
      <c r="M5" s="137">
        <f t="shared" ref="M5:M6" si="8">IFERROR((N3/(N3+M3)),0)</f>
        <v>0.2307692308</v>
      </c>
      <c r="S5" s="132"/>
      <c r="T5" s="132"/>
      <c r="U5" s="7"/>
    </row>
    <row r="6">
      <c r="A6" s="14"/>
      <c r="B6" s="138"/>
      <c r="C6" s="139" t="str">
        <f t="shared" si="5"/>
        <v>Charlie %</v>
      </c>
      <c r="D6" s="140">
        <f t="shared" si="6"/>
        <v>0.4285714286</v>
      </c>
      <c r="E6" s="141"/>
      <c r="F6" s="141"/>
      <c r="G6" s="141"/>
      <c r="H6" s="141"/>
      <c r="I6" s="141"/>
      <c r="J6" s="141"/>
      <c r="K6" s="138"/>
      <c r="L6" s="139" t="str">
        <f t="shared" si="7"/>
        <v>Charlie %</v>
      </c>
      <c r="M6" s="142">
        <f t="shared" si="8"/>
        <v>0.3076923077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36" t="s">
        <v>201</v>
      </c>
      <c r="D10" s="180">
        <v>1.0</v>
      </c>
      <c r="E10" s="179"/>
      <c r="F10" s="136"/>
      <c r="G10" s="136"/>
      <c r="K10" s="129">
        <v>1.0</v>
      </c>
      <c r="L10" s="136" t="s">
        <v>202</v>
      </c>
      <c r="M10" s="180"/>
      <c r="N10" s="179">
        <v>1.0</v>
      </c>
      <c r="P10" s="186"/>
      <c r="T10" s="132"/>
      <c r="U10" s="7"/>
    </row>
    <row r="11">
      <c r="A11" s="8"/>
      <c r="B11" s="129">
        <v>1.0</v>
      </c>
      <c r="C11" s="136" t="s">
        <v>203</v>
      </c>
      <c r="D11" s="180"/>
      <c r="E11" s="179">
        <v>1.0</v>
      </c>
      <c r="K11" s="129">
        <v>1.0</v>
      </c>
      <c r="L11" s="136" t="s">
        <v>203</v>
      </c>
      <c r="M11" s="180">
        <v>1.0</v>
      </c>
      <c r="N11" s="179"/>
      <c r="T11" s="132"/>
      <c r="U11" s="7"/>
    </row>
    <row r="12">
      <c r="A12" s="8"/>
      <c r="B12" s="129">
        <f t="shared" ref="B12:B69" si="9">B10+1</f>
        <v>2</v>
      </c>
      <c r="C12" s="156" t="str">
        <f t="shared" ref="C12:C89" si="10">C10</f>
        <v>Evan</v>
      </c>
      <c r="D12" s="180"/>
      <c r="E12" s="179">
        <v>1.0</v>
      </c>
      <c r="K12" s="129">
        <f t="shared" ref="K12:K69" si="11">K10+1</f>
        <v>2</v>
      </c>
      <c r="L12" s="156" t="str">
        <f t="shared" ref="L12:L89" si="12">L10</f>
        <v>Max</v>
      </c>
      <c r="M12" s="180"/>
      <c r="N12" s="179">
        <v>1.0</v>
      </c>
      <c r="T12" s="132"/>
      <c r="U12" s="7"/>
    </row>
    <row r="13">
      <c r="A13" s="14"/>
      <c r="B13" s="135">
        <f t="shared" si="9"/>
        <v>2</v>
      </c>
      <c r="C13" s="156" t="str">
        <f t="shared" si="10"/>
        <v>Charlie</v>
      </c>
      <c r="D13" s="180"/>
      <c r="E13" s="179">
        <v>1.0</v>
      </c>
      <c r="K13" s="135">
        <f t="shared" si="11"/>
        <v>2</v>
      </c>
      <c r="L13" s="156" t="str">
        <f t="shared" si="12"/>
        <v>Charlie</v>
      </c>
      <c r="M13" s="180">
        <v>1.0</v>
      </c>
      <c r="N13" s="181"/>
      <c r="O13" s="136">
        <v>1.0</v>
      </c>
      <c r="T13" s="132"/>
      <c r="U13" s="7"/>
    </row>
    <row r="14">
      <c r="A14" s="8"/>
      <c r="B14" s="129">
        <f t="shared" si="9"/>
        <v>3</v>
      </c>
      <c r="C14" s="156" t="str">
        <f t="shared" si="10"/>
        <v>Evan</v>
      </c>
      <c r="D14" s="180">
        <v>1.0</v>
      </c>
      <c r="E14" s="179"/>
      <c r="K14" s="129">
        <f t="shared" si="11"/>
        <v>3</v>
      </c>
      <c r="L14" s="156" t="str">
        <f t="shared" si="12"/>
        <v>Max</v>
      </c>
      <c r="M14" s="180">
        <v>1.0</v>
      </c>
      <c r="N14" s="181"/>
      <c r="T14" s="132"/>
      <c r="U14" s="7"/>
    </row>
    <row r="15">
      <c r="A15" s="14"/>
      <c r="B15" s="135">
        <f t="shared" si="9"/>
        <v>3</v>
      </c>
      <c r="C15" s="156" t="str">
        <f t="shared" si="10"/>
        <v>Charlie</v>
      </c>
      <c r="D15" s="180"/>
      <c r="E15" s="179">
        <v>1.0</v>
      </c>
      <c r="K15" s="135">
        <f t="shared" si="11"/>
        <v>3</v>
      </c>
      <c r="L15" s="156" t="str">
        <f t="shared" si="12"/>
        <v>Charlie</v>
      </c>
      <c r="M15" s="180">
        <v>1.0</v>
      </c>
      <c r="N15" s="181"/>
      <c r="T15" s="132"/>
      <c r="U15" s="7"/>
    </row>
    <row r="16">
      <c r="A16" s="8"/>
      <c r="B16" s="129">
        <f t="shared" si="9"/>
        <v>4</v>
      </c>
      <c r="C16" s="156" t="str">
        <f t="shared" si="10"/>
        <v>Evan</v>
      </c>
      <c r="D16" s="180">
        <v>1.0</v>
      </c>
      <c r="E16" s="181"/>
      <c r="K16" s="129">
        <f t="shared" si="11"/>
        <v>4</v>
      </c>
      <c r="L16" s="156" t="str">
        <f t="shared" si="12"/>
        <v>Max</v>
      </c>
      <c r="M16" s="180">
        <v>1.0</v>
      </c>
      <c r="N16" s="181"/>
      <c r="O16" s="136">
        <v>1.0</v>
      </c>
      <c r="T16" s="132"/>
      <c r="U16" s="7"/>
    </row>
    <row r="17">
      <c r="A17" s="14"/>
      <c r="B17" s="135">
        <f t="shared" si="9"/>
        <v>4</v>
      </c>
      <c r="C17" s="156" t="str">
        <f t="shared" si="10"/>
        <v>Charlie</v>
      </c>
      <c r="D17" s="180">
        <v>1.0</v>
      </c>
      <c r="E17" s="179"/>
      <c r="K17" s="135">
        <f t="shared" si="11"/>
        <v>4</v>
      </c>
      <c r="L17" s="156" t="str">
        <f t="shared" si="12"/>
        <v>Charlie</v>
      </c>
      <c r="M17" s="180">
        <v>1.0</v>
      </c>
      <c r="N17" s="179"/>
      <c r="T17" s="132"/>
      <c r="U17" s="7"/>
    </row>
    <row r="18">
      <c r="A18" s="8"/>
      <c r="B18" s="129">
        <f t="shared" si="9"/>
        <v>5</v>
      </c>
      <c r="C18" s="156" t="str">
        <f t="shared" si="10"/>
        <v>Evan</v>
      </c>
      <c r="D18" s="180">
        <v>1.0</v>
      </c>
      <c r="E18" s="179"/>
      <c r="K18" s="129">
        <f t="shared" si="11"/>
        <v>5</v>
      </c>
      <c r="L18" s="156" t="str">
        <f t="shared" si="12"/>
        <v>Max</v>
      </c>
      <c r="M18" s="180">
        <v>1.0</v>
      </c>
      <c r="N18" s="179"/>
      <c r="T18" s="132"/>
      <c r="U18" s="7"/>
    </row>
    <row r="19">
      <c r="A19" s="14"/>
      <c r="B19" s="135">
        <f t="shared" si="9"/>
        <v>5</v>
      </c>
      <c r="C19" s="156" t="str">
        <f t="shared" si="10"/>
        <v>Charlie</v>
      </c>
      <c r="D19" s="180">
        <v>1.0</v>
      </c>
      <c r="E19" s="179"/>
      <c r="K19" s="135">
        <f t="shared" si="11"/>
        <v>5</v>
      </c>
      <c r="L19" s="156" t="str">
        <f t="shared" si="12"/>
        <v>Charlie</v>
      </c>
      <c r="M19" s="180">
        <v>1.0</v>
      </c>
      <c r="N19" s="179"/>
      <c r="T19" s="132"/>
      <c r="U19" s="7"/>
    </row>
    <row r="20">
      <c r="A20" s="8"/>
      <c r="B20" s="129">
        <f t="shared" si="9"/>
        <v>6</v>
      </c>
      <c r="C20" s="156" t="str">
        <f t="shared" si="10"/>
        <v>Evan</v>
      </c>
      <c r="D20" s="178"/>
      <c r="E20" s="179">
        <v>1.0</v>
      </c>
      <c r="K20" s="129">
        <f t="shared" si="11"/>
        <v>6</v>
      </c>
      <c r="L20" s="156" t="str">
        <f t="shared" si="12"/>
        <v>Max</v>
      </c>
      <c r="M20" s="180">
        <v>1.0</v>
      </c>
      <c r="N20" s="181"/>
      <c r="T20" s="132"/>
      <c r="U20" s="7"/>
    </row>
    <row r="21">
      <c r="A21" s="14"/>
      <c r="B21" s="135">
        <f t="shared" si="9"/>
        <v>6</v>
      </c>
      <c r="C21" s="156" t="str">
        <f t="shared" si="10"/>
        <v>Charlie</v>
      </c>
      <c r="D21" s="180">
        <v>1.0</v>
      </c>
      <c r="E21" s="181"/>
      <c r="K21" s="135">
        <f t="shared" si="11"/>
        <v>6</v>
      </c>
      <c r="L21" s="156" t="str">
        <f t="shared" si="12"/>
        <v>Charlie</v>
      </c>
      <c r="M21" s="180">
        <v>1.0</v>
      </c>
      <c r="N21" s="181"/>
      <c r="T21" s="132"/>
      <c r="U21" s="7"/>
    </row>
    <row r="22">
      <c r="A22" s="8"/>
      <c r="B22" s="129">
        <f t="shared" si="9"/>
        <v>7</v>
      </c>
      <c r="C22" s="156" t="str">
        <f t="shared" si="10"/>
        <v>Evan</v>
      </c>
      <c r="D22" s="180"/>
      <c r="E22" s="179">
        <v>1.0</v>
      </c>
      <c r="K22" s="129">
        <f t="shared" si="11"/>
        <v>7</v>
      </c>
      <c r="L22" s="156" t="str">
        <f t="shared" si="12"/>
        <v>Max</v>
      </c>
      <c r="M22" s="180">
        <v>1.0</v>
      </c>
      <c r="N22" s="181"/>
      <c r="O22" s="136">
        <v>1.0</v>
      </c>
      <c r="T22" s="132"/>
      <c r="U22" s="7"/>
    </row>
    <row r="23">
      <c r="A23" s="14"/>
      <c r="B23" s="135">
        <f t="shared" si="9"/>
        <v>7</v>
      </c>
      <c r="C23" s="156" t="str">
        <f t="shared" si="10"/>
        <v>Charlie</v>
      </c>
      <c r="D23" s="180"/>
      <c r="E23" s="179">
        <v>1.0</v>
      </c>
      <c r="K23" s="135">
        <f t="shared" si="11"/>
        <v>7</v>
      </c>
      <c r="L23" s="156" t="str">
        <f t="shared" si="12"/>
        <v>Charlie</v>
      </c>
      <c r="M23" s="180"/>
      <c r="N23" s="179">
        <v>1.0</v>
      </c>
      <c r="T23" s="132"/>
      <c r="U23" s="7"/>
    </row>
    <row r="24">
      <c r="A24" s="8"/>
      <c r="B24" s="129">
        <f t="shared" si="9"/>
        <v>8</v>
      </c>
      <c r="C24" s="156" t="str">
        <f t="shared" si="10"/>
        <v>Evan</v>
      </c>
      <c r="D24" s="180">
        <v>1.0</v>
      </c>
      <c r="E24" s="181"/>
      <c r="K24" s="129">
        <f t="shared" si="11"/>
        <v>8</v>
      </c>
      <c r="L24" s="156" t="str">
        <f t="shared" si="12"/>
        <v>Max</v>
      </c>
      <c r="M24" s="180"/>
      <c r="N24" s="179">
        <v>1.0</v>
      </c>
      <c r="T24" s="132"/>
      <c r="U24" s="7"/>
    </row>
    <row r="25">
      <c r="A25" s="14"/>
      <c r="B25" s="135">
        <f t="shared" si="9"/>
        <v>8</v>
      </c>
      <c r="C25" s="156" t="str">
        <f t="shared" si="10"/>
        <v>Charlie</v>
      </c>
      <c r="D25" s="180"/>
      <c r="E25" s="179">
        <v>1.0</v>
      </c>
      <c r="K25" s="135">
        <f t="shared" si="11"/>
        <v>8</v>
      </c>
      <c r="L25" s="156" t="str">
        <f t="shared" si="12"/>
        <v>Charlie</v>
      </c>
      <c r="M25" s="180">
        <v>1.0</v>
      </c>
      <c r="N25" s="179"/>
      <c r="T25" s="132"/>
      <c r="U25" s="7"/>
    </row>
    <row r="26">
      <c r="A26" s="8"/>
      <c r="B26" s="129">
        <f t="shared" si="9"/>
        <v>9</v>
      </c>
      <c r="C26" s="156" t="str">
        <f t="shared" si="10"/>
        <v>Evan</v>
      </c>
      <c r="D26" s="180">
        <v>1.0</v>
      </c>
      <c r="E26" s="181"/>
      <c r="K26" s="129">
        <f t="shared" si="11"/>
        <v>9</v>
      </c>
      <c r="L26" s="156" t="str">
        <f t="shared" si="12"/>
        <v>Max</v>
      </c>
      <c r="M26" s="180">
        <v>1.0</v>
      </c>
      <c r="N26" s="181"/>
      <c r="T26" s="132"/>
      <c r="U26" s="7"/>
    </row>
    <row r="27">
      <c r="A27" s="14"/>
      <c r="B27" s="135">
        <f t="shared" si="9"/>
        <v>9</v>
      </c>
      <c r="C27" s="156" t="str">
        <f t="shared" si="10"/>
        <v>Charlie</v>
      </c>
      <c r="D27" s="180">
        <v>1.0</v>
      </c>
      <c r="E27" s="181"/>
      <c r="K27" s="135">
        <f t="shared" si="11"/>
        <v>9</v>
      </c>
      <c r="L27" s="156" t="str">
        <f t="shared" si="12"/>
        <v>Charlie</v>
      </c>
      <c r="M27" s="180"/>
      <c r="N27" s="179">
        <v>1.0</v>
      </c>
      <c r="T27" s="132"/>
      <c r="U27" s="7"/>
    </row>
    <row r="28">
      <c r="A28" s="8"/>
      <c r="B28" s="129">
        <f t="shared" si="9"/>
        <v>10</v>
      </c>
      <c r="C28" s="156" t="str">
        <f t="shared" si="10"/>
        <v>Evan</v>
      </c>
      <c r="D28" s="180">
        <v>1.0</v>
      </c>
      <c r="E28" s="181"/>
      <c r="G28" s="136">
        <v>1.0</v>
      </c>
      <c r="K28" s="129">
        <f t="shared" si="11"/>
        <v>10</v>
      </c>
      <c r="L28" s="156" t="str">
        <f t="shared" si="12"/>
        <v>Max</v>
      </c>
      <c r="M28" s="180">
        <v>1.0</v>
      </c>
      <c r="N28" s="181"/>
      <c r="T28" s="132"/>
      <c r="U28" s="7"/>
    </row>
    <row r="29">
      <c r="A29" s="14"/>
      <c r="B29" s="135">
        <f t="shared" si="9"/>
        <v>10</v>
      </c>
      <c r="C29" s="156" t="str">
        <f t="shared" si="10"/>
        <v>Charlie</v>
      </c>
      <c r="D29" s="180">
        <v>1.0</v>
      </c>
      <c r="E29" s="181"/>
      <c r="F29" s="136">
        <v>1.0</v>
      </c>
      <c r="K29" s="135">
        <f t="shared" si="11"/>
        <v>10</v>
      </c>
      <c r="L29" s="156" t="str">
        <f t="shared" si="12"/>
        <v>Charlie</v>
      </c>
      <c r="M29" s="180"/>
      <c r="N29" s="179">
        <v>1.0</v>
      </c>
      <c r="T29" s="132"/>
      <c r="U29" s="7"/>
    </row>
    <row r="30">
      <c r="A30" s="8"/>
      <c r="B30" s="129">
        <f t="shared" si="9"/>
        <v>11</v>
      </c>
      <c r="C30" s="156" t="str">
        <f t="shared" si="10"/>
        <v>Evan</v>
      </c>
      <c r="D30" s="180">
        <v>1.0</v>
      </c>
      <c r="E30" s="181"/>
      <c r="K30" s="129">
        <f t="shared" si="11"/>
        <v>11</v>
      </c>
      <c r="L30" s="156" t="str">
        <f t="shared" si="12"/>
        <v>Max</v>
      </c>
      <c r="M30" s="180">
        <v>1.0</v>
      </c>
      <c r="N30" s="181"/>
      <c r="T30" s="132"/>
      <c r="U30" s="7"/>
    </row>
    <row r="31">
      <c r="A31" s="14"/>
      <c r="B31" s="135">
        <f t="shared" si="9"/>
        <v>11</v>
      </c>
      <c r="C31" s="156" t="str">
        <f t="shared" si="10"/>
        <v>Charlie</v>
      </c>
      <c r="D31" s="180">
        <v>1.0</v>
      </c>
      <c r="E31" s="181"/>
      <c r="K31" s="135">
        <f t="shared" si="11"/>
        <v>11</v>
      </c>
      <c r="L31" s="156" t="str">
        <f t="shared" si="12"/>
        <v>Charlie</v>
      </c>
      <c r="M31" s="180">
        <v>1.0</v>
      </c>
      <c r="N31" s="179"/>
      <c r="T31" s="132"/>
      <c r="U31" s="7"/>
    </row>
    <row r="32">
      <c r="A32" s="8"/>
      <c r="B32" s="129">
        <f t="shared" si="9"/>
        <v>12</v>
      </c>
      <c r="C32" s="156" t="str">
        <f t="shared" si="10"/>
        <v>Evan</v>
      </c>
      <c r="D32" s="180">
        <v>1.0</v>
      </c>
      <c r="E32" s="181"/>
      <c r="K32" s="129">
        <f t="shared" si="11"/>
        <v>12</v>
      </c>
      <c r="L32" s="156" t="str">
        <f t="shared" si="12"/>
        <v>Max</v>
      </c>
      <c r="M32" s="180">
        <v>1.0</v>
      </c>
      <c r="N32" s="181"/>
      <c r="T32" s="132"/>
      <c r="U32" s="7"/>
    </row>
    <row r="33">
      <c r="A33" s="14"/>
      <c r="B33" s="135">
        <f t="shared" si="9"/>
        <v>12</v>
      </c>
      <c r="C33" s="156" t="str">
        <f t="shared" si="10"/>
        <v>Charlie</v>
      </c>
      <c r="D33" s="180"/>
      <c r="E33" s="179">
        <v>1.0</v>
      </c>
      <c r="K33" s="135">
        <f t="shared" si="11"/>
        <v>12</v>
      </c>
      <c r="L33" s="156" t="str">
        <f t="shared" si="12"/>
        <v>Charlie</v>
      </c>
      <c r="M33" s="178"/>
      <c r="N33" s="179">
        <v>1.0</v>
      </c>
      <c r="T33" s="132"/>
      <c r="U33" s="7"/>
    </row>
    <row r="34">
      <c r="A34" s="8"/>
      <c r="B34" s="129">
        <f t="shared" si="9"/>
        <v>13</v>
      </c>
      <c r="C34" s="156" t="str">
        <f t="shared" si="10"/>
        <v>Evan</v>
      </c>
      <c r="D34" s="180">
        <v>1.0</v>
      </c>
      <c r="E34" s="181"/>
      <c r="K34" s="129">
        <f t="shared" si="11"/>
        <v>13</v>
      </c>
      <c r="L34" s="156" t="str">
        <f t="shared" si="12"/>
        <v>Max</v>
      </c>
      <c r="M34" s="180">
        <v>1.0</v>
      </c>
      <c r="N34" s="181"/>
      <c r="T34" s="132"/>
      <c r="U34" s="7"/>
    </row>
    <row r="35">
      <c r="A35" s="14"/>
      <c r="B35" s="135">
        <f t="shared" si="9"/>
        <v>13</v>
      </c>
      <c r="C35" s="156" t="str">
        <f t="shared" si="10"/>
        <v>Charlie</v>
      </c>
      <c r="D35" s="180">
        <v>1.0</v>
      </c>
      <c r="E35" s="181"/>
      <c r="G35" s="136">
        <v>1.0</v>
      </c>
      <c r="K35" s="135">
        <f t="shared" si="11"/>
        <v>13</v>
      </c>
      <c r="L35" s="156" t="str">
        <f t="shared" si="12"/>
        <v>Charlie</v>
      </c>
      <c r="M35" s="180">
        <v>1.0</v>
      </c>
      <c r="N35" s="181"/>
      <c r="T35" s="132"/>
      <c r="U35" s="7"/>
    </row>
    <row r="36">
      <c r="A36" s="8"/>
      <c r="B36" s="129">
        <f t="shared" si="9"/>
        <v>14</v>
      </c>
      <c r="C36" s="156" t="str">
        <f t="shared" si="10"/>
        <v>Evan</v>
      </c>
      <c r="D36" s="180">
        <v>1.0</v>
      </c>
      <c r="E36" s="181"/>
      <c r="K36" s="129">
        <f t="shared" si="11"/>
        <v>14</v>
      </c>
      <c r="L36" s="156" t="str">
        <f t="shared" si="12"/>
        <v>Max</v>
      </c>
      <c r="M36" s="180"/>
      <c r="N36" s="181"/>
      <c r="T36" s="132"/>
      <c r="U36" s="7"/>
    </row>
    <row r="37">
      <c r="A37" s="14"/>
      <c r="B37" s="135">
        <f t="shared" si="9"/>
        <v>14</v>
      </c>
      <c r="C37" s="156" t="str">
        <f t="shared" si="10"/>
        <v>Charlie</v>
      </c>
      <c r="D37" s="180">
        <v>1.0</v>
      </c>
      <c r="E37" s="181"/>
      <c r="K37" s="135">
        <f t="shared" si="11"/>
        <v>14</v>
      </c>
      <c r="L37" s="156" t="str">
        <f t="shared" si="12"/>
        <v>Charlie</v>
      </c>
      <c r="M37" s="180"/>
      <c r="N37" s="181"/>
      <c r="T37" s="132"/>
      <c r="U37" s="7"/>
    </row>
    <row r="38">
      <c r="A38" s="8"/>
      <c r="B38" s="129">
        <f t="shared" si="9"/>
        <v>15</v>
      </c>
      <c r="C38" s="156" t="str">
        <f t="shared" si="10"/>
        <v>Evan</v>
      </c>
      <c r="D38" s="180"/>
      <c r="E38" s="179">
        <v>1.0</v>
      </c>
      <c r="K38" s="129">
        <f t="shared" si="11"/>
        <v>15</v>
      </c>
      <c r="L38" s="156" t="str">
        <f t="shared" si="12"/>
        <v>Max</v>
      </c>
      <c r="M38" s="180"/>
      <c r="N38" s="181"/>
      <c r="T38" s="132"/>
      <c r="U38" s="7"/>
    </row>
    <row r="39">
      <c r="A39" s="14"/>
      <c r="B39" s="135">
        <f t="shared" si="9"/>
        <v>15</v>
      </c>
      <c r="C39" s="156" t="str">
        <f t="shared" si="10"/>
        <v>Charlie</v>
      </c>
      <c r="D39" s="180"/>
      <c r="E39" s="181"/>
      <c r="K39" s="135">
        <f t="shared" si="11"/>
        <v>15</v>
      </c>
      <c r="L39" s="156" t="str">
        <f t="shared" si="12"/>
        <v>Charlie</v>
      </c>
      <c r="M39" s="180"/>
      <c r="N39" s="181"/>
      <c r="T39" s="132"/>
      <c r="U39" s="7"/>
    </row>
    <row r="40">
      <c r="A40" s="8"/>
      <c r="B40" s="129">
        <f t="shared" si="9"/>
        <v>16</v>
      </c>
      <c r="C40" s="156" t="str">
        <f t="shared" si="10"/>
        <v>Evan</v>
      </c>
      <c r="D40" s="180"/>
      <c r="E40" s="179"/>
      <c r="K40" s="129">
        <f t="shared" si="11"/>
        <v>16</v>
      </c>
      <c r="L40" s="156" t="str">
        <f t="shared" si="12"/>
        <v>Max</v>
      </c>
      <c r="M40" s="180"/>
      <c r="N40" s="181"/>
      <c r="T40" s="132"/>
      <c r="U40" s="7"/>
    </row>
    <row r="41">
      <c r="A41" s="14"/>
      <c r="B41" s="135">
        <f t="shared" si="9"/>
        <v>16</v>
      </c>
      <c r="C41" s="156" t="str">
        <f t="shared" si="10"/>
        <v>Charlie</v>
      </c>
      <c r="D41" s="180"/>
      <c r="E41" s="181"/>
      <c r="K41" s="135">
        <f t="shared" si="11"/>
        <v>16</v>
      </c>
      <c r="L41" s="156" t="str">
        <f t="shared" si="12"/>
        <v>Charlie</v>
      </c>
      <c r="M41" s="178"/>
      <c r="N41" s="179"/>
      <c r="T41" s="132"/>
      <c r="U41" s="7"/>
    </row>
    <row r="42">
      <c r="A42" s="8"/>
      <c r="B42" s="129">
        <f t="shared" si="9"/>
        <v>17</v>
      </c>
      <c r="C42" s="156" t="str">
        <f t="shared" si="10"/>
        <v>Evan</v>
      </c>
      <c r="D42" s="180"/>
      <c r="E42" s="181"/>
      <c r="K42" s="129">
        <f t="shared" si="11"/>
        <v>17</v>
      </c>
      <c r="L42" s="156" t="str">
        <f t="shared" si="12"/>
        <v>Max</v>
      </c>
      <c r="M42" s="180"/>
      <c r="N42" s="181"/>
      <c r="T42" s="132"/>
      <c r="U42" s="7"/>
    </row>
    <row r="43">
      <c r="A43" s="14"/>
      <c r="B43" s="135">
        <f t="shared" si="9"/>
        <v>17</v>
      </c>
      <c r="C43" s="156" t="str">
        <f t="shared" si="10"/>
        <v>Charlie</v>
      </c>
      <c r="D43" s="178"/>
      <c r="E43" s="179"/>
      <c r="K43" s="135">
        <f t="shared" si="11"/>
        <v>17</v>
      </c>
      <c r="L43" s="156" t="str">
        <f t="shared" si="12"/>
        <v>Charlie</v>
      </c>
      <c r="M43" s="180"/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Evan</v>
      </c>
      <c r="D44" s="180"/>
      <c r="E44" s="181"/>
      <c r="K44" s="129">
        <f t="shared" si="11"/>
        <v>18</v>
      </c>
      <c r="L44" s="156" t="str">
        <f t="shared" si="12"/>
        <v>Max</v>
      </c>
      <c r="M44" s="180"/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Charlie</v>
      </c>
      <c r="D45" s="180"/>
      <c r="E45" s="181"/>
      <c r="K45" s="129">
        <f t="shared" si="11"/>
        <v>18</v>
      </c>
      <c r="L45" s="156" t="str">
        <f t="shared" si="12"/>
        <v>Charlie</v>
      </c>
      <c r="M45" s="180"/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Evan</v>
      </c>
      <c r="D46" s="180"/>
      <c r="E46" s="181"/>
      <c r="K46" s="135">
        <f t="shared" si="11"/>
        <v>19</v>
      </c>
      <c r="L46" s="156" t="str">
        <f t="shared" si="12"/>
        <v>Max</v>
      </c>
      <c r="M46" s="180"/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Charlie</v>
      </c>
      <c r="D47" s="180"/>
      <c r="E47" s="181"/>
      <c r="K47" s="129">
        <f t="shared" si="11"/>
        <v>19</v>
      </c>
      <c r="L47" s="156" t="str">
        <f t="shared" si="12"/>
        <v>Charlie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Evan</v>
      </c>
      <c r="D48" s="180"/>
      <c r="E48" s="181"/>
      <c r="K48" s="135">
        <f t="shared" si="11"/>
        <v>20</v>
      </c>
      <c r="L48" s="156" t="str">
        <f t="shared" si="12"/>
        <v>Max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Charlie</v>
      </c>
      <c r="D49" s="178"/>
      <c r="E49" s="179"/>
      <c r="K49" s="129">
        <f t="shared" si="11"/>
        <v>20</v>
      </c>
      <c r="L49" s="156" t="str">
        <f t="shared" si="12"/>
        <v>Charlie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Evan</v>
      </c>
      <c r="D50" s="180"/>
      <c r="E50" s="181"/>
      <c r="K50" s="129">
        <f t="shared" si="11"/>
        <v>21</v>
      </c>
      <c r="L50" s="156" t="str">
        <f t="shared" si="12"/>
        <v>Max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Charlie</v>
      </c>
      <c r="D51" s="180"/>
      <c r="E51" s="181"/>
      <c r="K51" s="135">
        <f t="shared" si="11"/>
        <v>21</v>
      </c>
      <c r="L51" s="156" t="str">
        <f t="shared" si="12"/>
        <v>Charlie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Evan</v>
      </c>
      <c r="D52" s="178"/>
      <c r="E52" s="181"/>
      <c r="K52" s="129">
        <f t="shared" si="11"/>
        <v>22</v>
      </c>
      <c r="L52" s="156" t="str">
        <f t="shared" si="12"/>
        <v>Max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Charlie</v>
      </c>
      <c r="D53" s="178"/>
      <c r="E53" s="181"/>
      <c r="K53" s="135">
        <f t="shared" si="11"/>
        <v>22</v>
      </c>
      <c r="L53" s="156" t="str">
        <f t="shared" si="12"/>
        <v>Charlie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Evan</v>
      </c>
      <c r="D54" s="178"/>
      <c r="E54" s="181"/>
      <c r="K54" s="129">
        <f t="shared" si="11"/>
        <v>23</v>
      </c>
      <c r="L54" s="156" t="str">
        <f t="shared" si="12"/>
        <v>Max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Charlie</v>
      </c>
      <c r="D55" s="178"/>
      <c r="E55" s="181"/>
      <c r="K55" s="135">
        <f t="shared" si="11"/>
        <v>23</v>
      </c>
      <c r="L55" s="156" t="str">
        <f t="shared" si="12"/>
        <v>Charlie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Evan</v>
      </c>
      <c r="D56" s="178"/>
      <c r="E56" s="181"/>
      <c r="K56" s="129">
        <f t="shared" si="11"/>
        <v>24</v>
      </c>
      <c r="L56" s="156" t="str">
        <f t="shared" si="12"/>
        <v>Max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Charlie</v>
      </c>
      <c r="D57" s="178"/>
      <c r="E57" s="181"/>
      <c r="K57" s="129">
        <f t="shared" si="11"/>
        <v>24</v>
      </c>
      <c r="L57" s="156" t="str">
        <f t="shared" si="12"/>
        <v>Charlie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Evan</v>
      </c>
      <c r="D58" s="178"/>
      <c r="E58" s="181"/>
      <c r="K58" s="135">
        <f t="shared" si="11"/>
        <v>25</v>
      </c>
      <c r="L58" s="156" t="str">
        <f t="shared" si="12"/>
        <v>Max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Charlie</v>
      </c>
      <c r="D59" s="178"/>
      <c r="E59" s="181"/>
      <c r="K59" s="129">
        <f t="shared" si="11"/>
        <v>25</v>
      </c>
      <c r="L59" s="156" t="str">
        <f t="shared" si="12"/>
        <v>Charlie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Evan</v>
      </c>
      <c r="D60" s="178"/>
      <c r="E60" s="181"/>
      <c r="K60" s="135">
        <f t="shared" si="11"/>
        <v>26</v>
      </c>
      <c r="L60" s="156" t="str">
        <f t="shared" si="12"/>
        <v>Max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Charlie</v>
      </c>
      <c r="D61" s="178"/>
      <c r="E61" s="181"/>
      <c r="K61" s="129">
        <f t="shared" si="11"/>
        <v>26</v>
      </c>
      <c r="L61" s="156" t="str">
        <f t="shared" si="12"/>
        <v>Charlie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Evan</v>
      </c>
      <c r="D62" s="178"/>
      <c r="E62" s="181"/>
      <c r="K62" s="135">
        <f t="shared" si="11"/>
        <v>27</v>
      </c>
      <c r="L62" s="156" t="str">
        <f t="shared" si="12"/>
        <v>Max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Charlie</v>
      </c>
      <c r="D63" s="178"/>
      <c r="E63" s="181"/>
      <c r="K63" s="129">
        <f t="shared" si="11"/>
        <v>27</v>
      </c>
      <c r="L63" s="156" t="str">
        <f t="shared" si="12"/>
        <v>Charlie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Evan</v>
      </c>
      <c r="D64" s="178"/>
      <c r="E64" s="181"/>
      <c r="K64" s="135">
        <f t="shared" si="11"/>
        <v>28</v>
      </c>
      <c r="L64" s="156" t="str">
        <f t="shared" si="12"/>
        <v>Max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Charlie</v>
      </c>
      <c r="D65" s="178"/>
      <c r="E65" s="181"/>
      <c r="K65" s="129">
        <f t="shared" si="11"/>
        <v>28</v>
      </c>
      <c r="L65" s="156" t="str">
        <f t="shared" si="12"/>
        <v>Charlie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Evan</v>
      </c>
      <c r="D66" s="178"/>
      <c r="E66" s="181"/>
      <c r="K66" s="135">
        <f t="shared" si="11"/>
        <v>29</v>
      </c>
      <c r="L66" s="156" t="str">
        <f t="shared" si="12"/>
        <v>Max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Charlie</v>
      </c>
      <c r="D67" s="178"/>
      <c r="E67" s="181"/>
      <c r="K67" s="135">
        <f t="shared" si="11"/>
        <v>29</v>
      </c>
      <c r="L67" s="156" t="str">
        <f t="shared" si="12"/>
        <v>Charlie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Evan</v>
      </c>
      <c r="D68" s="178"/>
      <c r="E68" s="181"/>
      <c r="K68" s="135">
        <f t="shared" si="11"/>
        <v>30</v>
      </c>
      <c r="L68" s="156" t="str">
        <f t="shared" si="12"/>
        <v>Max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Charlie</v>
      </c>
      <c r="D69" s="178"/>
      <c r="E69" s="181"/>
      <c r="K69" s="135">
        <f t="shared" si="11"/>
        <v>30</v>
      </c>
      <c r="L69" s="156" t="str">
        <f t="shared" si="12"/>
        <v>Charlie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Evan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Max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Charlie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Charlie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Evan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Max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Charlie</v>
      </c>
      <c r="D73" s="178"/>
      <c r="E73" s="181"/>
      <c r="K73" s="129">
        <v>32.0</v>
      </c>
      <c r="L73" s="156" t="str">
        <f t="shared" si="12"/>
        <v>Charlie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Evan</v>
      </c>
      <c r="D74" s="192"/>
      <c r="E74" s="181"/>
      <c r="K74" s="129">
        <v>33.0</v>
      </c>
      <c r="L74" s="156" t="str">
        <f t="shared" si="12"/>
        <v>Max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Charlie</v>
      </c>
      <c r="D75" s="178"/>
      <c r="E75" s="181"/>
      <c r="K75" s="129">
        <v>33.0</v>
      </c>
      <c r="L75" s="156" t="str">
        <f t="shared" si="12"/>
        <v>Charlie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Evan</v>
      </c>
      <c r="D76" s="178"/>
      <c r="E76" s="181"/>
      <c r="K76" s="129">
        <v>34.0</v>
      </c>
      <c r="L76" s="156" t="str">
        <f t="shared" si="12"/>
        <v>Max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Charlie</v>
      </c>
      <c r="D77" s="178"/>
      <c r="E77" s="181"/>
      <c r="K77" s="129">
        <v>34.0</v>
      </c>
      <c r="L77" s="156" t="str">
        <f t="shared" si="12"/>
        <v>Charlie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Evan</v>
      </c>
      <c r="D78" s="178"/>
      <c r="E78" s="181"/>
      <c r="K78" s="129">
        <v>35.0</v>
      </c>
      <c r="L78" s="156" t="str">
        <f t="shared" si="12"/>
        <v>Max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Charlie</v>
      </c>
      <c r="D79" s="178"/>
      <c r="E79" s="181"/>
      <c r="K79" s="129">
        <v>35.0</v>
      </c>
      <c r="L79" s="156" t="str">
        <f t="shared" si="12"/>
        <v>Charlie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Evan</v>
      </c>
      <c r="D80" s="178"/>
      <c r="E80" s="181"/>
      <c r="K80" s="129">
        <v>36.0</v>
      </c>
      <c r="L80" s="156" t="str">
        <f t="shared" si="12"/>
        <v>Max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Charlie</v>
      </c>
      <c r="D81" s="178"/>
      <c r="E81" s="181"/>
      <c r="K81" s="129">
        <v>36.0</v>
      </c>
      <c r="L81" s="156" t="str">
        <f t="shared" si="12"/>
        <v>Charlie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Evan</v>
      </c>
      <c r="D82" s="178"/>
      <c r="E82" s="181"/>
      <c r="K82" s="129">
        <v>37.0</v>
      </c>
      <c r="L82" s="156" t="str">
        <f t="shared" si="12"/>
        <v>Max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Charlie</v>
      </c>
      <c r="D83" s="178"/>
      <c r="E83" s="181"/>
      <c r="K83" s="129">
        <v>37.0</v>
      </c>
      <c r="L83" s="156" t="str">
        <f t="shared" si="12"/>
        <v>Charlie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Evan</v>
      </c>
      <c r="D84" s="178"/>
      <c r="E84" s="181"/>
      <c r="K84" s="129">
        <v>38.0</v>
      </c>
      <c r="L84" s="156" t="str">
        <f t="shared" si="12"/>
        <v>Max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Charlie</v>
      </c>
      <c r="D85" s="178"/>
      <c r="E85" s="181"/>
      <c r="K85" s="129">
        <v>38.0</v>
      </c>
      <c r="L85" s="156" t="str">
        <f t="shared" si="12"/>
        <v>Charlie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Evan</v>
      </c>
      <c r="D86" s="178"/>
      <c r="E86" s="181"/>
      <c r="K86" s="129">
        <v>39.0</v>
      </c>
      <c r="L86" s="156" t="str">
        <f t="shared" si="12"/>
        <v>Max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Charlie</v>
      </c>
      <c r="D87" s="178"/>
      <c r="E87" s="181"/>
      <c r="K87" s="129">
        <v>39.0</v>
      </c>
      <c r="L87" s="156" t="str">
        <f t="shared" si="12"/>
        <v>Charlie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Evan</v>
      </c>
      <c r="D88" s="178"/>
      <c r="E88" s="181"/>
      <c r="K88" s="129">
        <v>40.0</v>
      </c>
      <c r="L88" s="156" t="str">
        <f t="shared" si="12"/>
        <v>Max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Charlie</v>
      </c>
      <c r="D89" s="178"/>
      <c r="E89" s="181"/>
      <c r="K89" s="129">
        <v>40.0</v>
      </c>
      <c r="L89" s="156" t="str">
        <f t="shared" si="12"/>
        <v>Charlie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10.13"/>
    <col customWidth="1" min="3" max="3" width="15.13"/>
    <col customWidth="1" min="4" max="11" width="10.13"/>
    <col customWidth="1" min="12" max="12" width="15.13"/>
    <col customWidth="1" min="13" max="19" width="10.13"/>
    <col customWidth="1" min="20" max="20" width="2.63"/>
    <col customWidth="1" min="21" max="21" width="2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115"/>
      <c r="B2" s="116" t="s">
        <v>182</v>
      </c>
      <c r="C2" s="117"/>
      <c r="D2" s="212" t="s">
        <v>176</v>
      </c>
      <c r="E2" s="212" t="s">
        <v>177</v>
      </c>
      <c r="F2" s="212" t="s">
        <v>67</v>
      </c>
      <c r="G2" s="212" t="s">
        <v>68</v>
      </c>
      <c r="H2" s="213" t="s">
        <v>69</v>
      </c>
      <c r="I2" s="213" t="s">
        <v>70</v>
      </c>
      <c r="J2" s="214" t="s">
        <v>72</v>
      </c>
      <c r="K2" s="215"/>
      <c r="L2" s="117"/>
      <c r="M2" s="212" t="s">
        <v>176</v>
      </c>
      <c r="N2" s="212" t="s">
        <v>177</v>
      </c>
      <c r="O2" s="212" t="s">
        <v>67</v>
      </c>
      <c r="P2" s="212" t="s">
        <v>68</v>
      </c>
      <c r="Q2" s="213" t="s">
        <v>69</v>
      </c>
      <c r="R2" s="214" t="s">
        <v>70</v>
      </c>
      <c r="S2" s="216" t="s">
        <v>72</v>
      </c>
      <c r="T2" s="124"/>
      <c r="U2" s="7"/>
    </row>
    <row r="3">
      <c r="A3" s="125"/>
      <c r="B3" s="126" t="s">
        <v>178</v>
      </c>
      <c r="C3" s="127" t="s">
        <v>78</v>
      </c>
      <c r="D3" s="189">
        <f t="shared" ref="D3:J3" si="1">SUMPRODUCT(D10:D90,MOD(ROW(D10:D90),2)=0)</f>
        <v>7</v>
      </c>
      <c r="E3" s="189">
        <f t="shared" si="1"/>
        <v>4</v>
      </c>
      <c r="F3" s="189">
        <f t="shared" si="1"/>
        <v>1</v>
      </c>
      <c r="G3" s="189">
        <f t="shared" si="1"/>
        <v>0</v>
      </c>
      <c r="H3" s="189">
        <f t="shared" si="1"/>
        <v>0</v>
      </c>
      <c r="I3" s="189">
        <f t="shared" si="1"/>
        <v>0</v>
      </c>
      <c r="J3" s="189">
        <f t="shared" si="1"/>
        <v>0</v>
      </c>
      <c r="K3" s="129" t="s">
        <v>178</v>
      </c>
      <c r="L3" s="130" t="s">
        <v>97</v>
      </c>
      <c r="M3" s="189">
        <f t="shared" ref="M3:S3" si="2">SUMPRODUCT(M10:M90,MOD(ROW(M10:M90),2)=0)</f>
        <v>6</v>
      </c>
      <c r="N3" s="189">
        <f t="shared" si="2"/>
        <v>6</v>
      </c>
      <c r="O3" s="189">
        <f t="shared" si="2"/>
        <v>0</v>
      </c>
      <c r="P3" s="189">
        <f t="shared" si="2"/>
        <v>1</v>
      </c>
      <c r="Q3" s="189">
        <f t="shared" si="2"/>
        <v>0</v>
      </c>
      <c r="R3" s="189">
        <f t="shared" si="2"/>
        <v>0</v>
      </c>
      <c r="S3" s="195">
        <f t="shared" si="2"/>
        <v>0</v>
      </c>
      <c r="T3" s="132"/>
      <c r="U3" s="7"/>
    </row>
    <row r="4">
      <c r="A4" s="125"/>
      <c r="B4" s="126" t="s">
        <v>179</v>
      </c>
      <c r="C4" s="127" t="s">
        <v>88</v>
      </c>
      <c r="D4" s="191">
        <f t="shared" ref="D4:J4" si="3">SUMPRODUCT(D10:D90,MOD(ROW(D10:D90),2))</f>
        <v>7</v>
      </c>
      <c r="E4" s="191">
        <f t="shared" si="3"/>
        <v>3</v>
      </c>
      <c r="F4" s="191">
        <f t="shared" si="3"/>
        <v>1</v>
      </c>
      <c r="G4" s="191">
        <f t="shared" si="3"/>
        <v>0</v>
      </c>
      <c r="H4" s="191">
        <f t="shared" si="3"/>
        <v>0</v>
      </c>
      <c r="I4" s="191">
        <f t="shared" si="3"/>
        <v>0</v>
      </c>
      <c r="J4" s="191">
        <f t="shared" si="3"/>
        <v>0</v>
      </c>
      <c r="K4" s="129" t="s">
        <v>179</v>
      </c>
      <c r="L4" s="127" t="s">
        <v>80</v>
      </c>
      <c r="M4" s="191">
        <f t="shared" ref="M4:S4" si="4">SUMPRODUCT(M10:M90,MOD(ROW(M10:M90),2))</f>
        <v>8</v>
      </c>
      <c r="N4" s="191">
        <f t="shared" si="4"/>
        <v>4</v>
      </c>
      <c r="O4" s="191">
        <f t="shared" si="4"/>
        <v>0</v>
      </c>
      <c r="P4" s="191">
        <f t="shared" si="4"/>
        <v>1</v>
      </c>
      <c r="Q4" s="191">
        <f t="shared" si="4"/>
        <v>0</v>
      </c>
      <c r="R4" s="191">
        <f t="shared" si="4"/>
        <v>0</v>
      </c>
      <c r="S4" s="196">
        <f t="shared" si="4"/>
        <v>0</v>
      </c>
      <c r="T4" s="132"/>
      <c r="U4" s="7"/>
    </row>
    <row r="5">
      <c r="A5" s="14"/>
      <c r="B5" s="135"/>
      <c r="C5" s="136" t="str">
        <f t="shared" ref="C5:C6" si="5">IFERROR((C10 &amp;" %"), "")</f>
        <v>Charlie %</v>
      </c>
      <c r="D5" s="137">
        <f t="shared" ref="D5:D6" si="6">IFERROR((E3/(E3+D3)),0)</f>
        <v>0.3636363636</v>
      </c>
      <c r="K5" s="135"/>
      <c r="L5" s="136" t="str">
        <f t="shared" ref="L5:L6" si="7">IFERROR((L10 &amp;" %"), "")</f>
        <v>Mackie %</v>
      </c>
      <c r="M5" s="137">
        <f t="shared" ref="M5:M6" si="8">IFERROR((N3/(N3+M3)),0)</f>
        <v>0.5</v>
      </c>
      <c r="S5" s="132"/>
      <c r="T5" s="132"/>
      <c r="U5" s="7"/>
    </row>
    <row r="6">
      <c r="A6" s="14"/>
      <c r="B6" s="138"/>
      <c r="C6" s="139" t="str">
        <f t="shared" si="5"/>
        <v>Max %</v>
      </c>
      <c r="D6" s="140">
        <f t="shared" si="6"/>
        <v>0.3</v>
      </c>
      <c r="E6" s="141"/>
      <c r="F6" s="141"/>
      <c r="G6" s="141"/>
      <c r="H6" s="141"/>
      <c r="I6" s="141"/>
      <c r="J6" s="141"/>
      <c r="K6" s="138"/>
      <c r="L6" s="139" t="str">
        <f t="shared" si="7"/>
        <v>Shawnak %</v>
      </c>
      <c r="M6" s="142">
        <f t="shared" si="8"/>
        <v>0.3333333333</v>
      </c>
      <c r="N6" s="141"/>
      <c r="O6" s="141"/>
      <c r="P6" s="141"/>
      <c r="Q6" s="141"/>
      <c r="R6" s="141"/>
      <c r="S6" s="143"/>
      <c r="T6" s="132"/>
      <c r="U6" s="7"/>
    </row>
    <row r="7">
      <c r="A7" s="4"/>
      <c r="B7" s="144"/>
      <c r="C7" s="136"/>
      <c r="K7" s="135"/>
      <c r="T7" s="132"/>
      <c r="U7" s="7"/>
    </row>
    <row r="8">
      <c r="A8" s="4"/>
      <c r="B8" s="144" t="s">
        <v>180</v>
      </c>
      <c r="C8" s="136"/>
      <c r="K8" s="135"/>
      <c r="L8" s="136"/>
      <c r="T8" s="132"/>
      <c r="U8" s="7"/>
    </row>
    <row r="9">
      <c r="A9" s="4"/>
      <c r="B9" s="145" t="s">
        <v>181</v>
      </c>
      <c r="C9" s="146" t="s">
        <v>63</v>
      </c>
      <c r="D9" s="147" t="s">
        <v>176</v>
      </c>
      <c r="E9" s="148" t="s">
        <v>177</v>
      </c>
      <c r="F9" s="146" t="s">
        <v>67</v>
      </c>
      <c r="G9" s="146" t="s">
        <v>68</v>
      </c>
      <c r="H9" s="146" t="s">
        <v>69</v>
      </c>
      <c r="I9" s="146" t="s">
        <v>70</v>
      </c>
      <c r="J9" s="146" t="s">
        <v>72</v>
      </c>
      <c r="K9" s="145" t="s">
        <v>181</v>
      </c>
      <c r="L9" s="146" t="s">
        <v>63</v>
      </c>
      <c r="M9" s="147" t="s">
        <v>176</v>
      </c>
      <c r="N9" s="148" t="s">
        <v>177</v>
      </c>
      <c r="O9" s="146" t="s">
        <v>67</v>
      </c>
      <c r="P9" s="146" t="s">
        <v>68</v>
      </c>
      <c r="Q9" s="146" t="s">
        <v>69</v>
      </c>
      <c r="R9" s="146" t="s">
        <v>70</v>
      </c>
      <c r="S9" s="146" t="s">
        <v>72</v>
      </c>
      <c r="T9" s="132"/>
      <c r="U9" s="7"/>
    </row>
    <row r="10">
      <c r="A10" s="8"/>
      <c r="B10" s="129">
        <v>1.0</v>
      </c>
      <c r="C10" s="199" t="s">
        <v>203</v>
      </c>
      <c r="D10" s="208"/>
      <c r="E10" s="188">
        <v>1.0</v>
      </c>
      <c r="F10" s="199"/>
      <c r="G10" s="136"/>
      <c r="K10" s="129">
        <v>1.0</v>
      </c>
      <c r="L10" s="199" t="s">
        <v>204</v>
      </c>
      <c r="M10" s="197">
        <v>1.0</v>
      </c>
      <c r="N10" s="201"/>
      <c r="O10" s="177"/>
      <c r="P10" s="199"/>
      <c r="T10" s="132"/>
      <c r="U10" s="7"/>
    </row>
    <row r="11">
      <c r="A11" s="8"/>
      <c r="B11" s="129">
        <v>1.0</v>
      </c>
      <c r="C11" s="199" t="s">
        <v>202</v>
      </c>
      <c r="D11" s="200">
        <v>1.0</v>
      </c>
      <c r="E11" s="201"/>
      <c r="F11" s="191">
        <v>1.0</v>
      </c>
      <c r="K11" s="129">
        <v>1.0</v>
      </c>
      <c r="L11" s="199" t="s">
        <v>205</v>
      </c>
      <c r="M11" s="197">
        <v>1.0</v>
      </c>
      <c r="N11" s="201"/>
      <c r="O11" s="177"/>
      <c r="P11" s="177"/>
      <c r="T11" s="132"/>
      <c r="U11" s="7"/>
    </row>
    <row r="12">
      <c r="A12" s="8"/>
      <c r="B12" s="129">
        <f t="shared" ref="B12:B69" si="9">B10+1</f>
        <v>2</v>
      </c>
      <c r="C12" s="177" t="str">
        <f t="shared" ref="C12:C89" si="10">C10</f>
        <v>Charlie</v>
      </c>
      <c r="D12" s="197">
        <v>1.0</v>
      </c>
      <c r="E12" s="201"/>
      <c r="F12" s="177"/>
      <c r="K12" s="129">
        <f t="shared" ref="K12:K69" si="11">K10+1</f>
        <v>2</v>
      </c>
      <c r="L12" s="177" t="str">
        <f t="shared" ref="L12:L89" si="12">L10</f>
        <v>Mackie</v>
      </c>
      <c r="M12" s="208"/>
      <c r="N12" s="203">
        <v>1.0</v>
      </c>
      <c r="O12" s="177"/>
      <c r="P12" s="177"/>
      <c r="T12" s="132"/>
      <c r="U12" s="7"/>
    </row>
    <row r="13">
      <c r="A13" s="14"/>
      <c r="B13" s="135">
        <f t="shared" si="9"/>
        <v>2</v>
      </c>
      <c r="C13" s="177" t="str">
        <f t="shared" si="10"/>
        <v>Max</v>
      </c>
      <c r="D13" s="208"/>
      <c r="E13" s="203">
        <v>1.0</v>
      </c>
      <c r="F13" s="177"/>
      <c r="K13" s="135">
        <f t="shared" si="11"/>
        <v>2</v>
      </c>
      <c r="L13" s="177" t="str">
        <f t="shared" si="12"/>
        <v>Shawnak</v>
      </c>
      <c r="M13" s="197">
        <v>1.0</v>
      </c>
      <c r="N13" s="205"/>
      <c r="O13" s="177"/>
      <c r="P13" s="177"/>
      <c r="T13" s="132"/>
      <c r="U13" s="7"/>
    </row>
    <row r="14">
      <c r="A14" s="8"/>
      <c r="B14" s="129">
        <f t="shared" si="9"/>
        <v>3</v>
      </c>
      <c r="C14" s="177" t="str">
        <f t="shared" si="10"/>
        <v>Charlie</v>
      </c>
      <c r="D14" s="197">
        <v>1.0</v>
      </c>
      <c r="E14" s="201"/>
      <c r="F14" s="177"/>
      <c r="K14" s="129">
        <f t="shared" si="11"/>
        <v>3</v>
      </c>
      <c r="L14" s="177" t="str">
        <f t="shared" si="12"/>
        <v>Mackie</v>
      </c>
      <c r="M14" s="208"/>
      <c r="N14" s="188">
        <v>1.0</v>
      </c>
      <c r="O14" s="177"/>
      <c r="P14" s="177"/>
      <c r="T14" s="132"/>
      <c r="U14" s="7"/>
    </row>
    <row r="15">
      <c r="A15" s="14"/>
      <c r="B15" s="135">
        <f t="shared" si="9"/>
        <v>3</v>
      </c>
      <c r="C15" s="177" t="str">
        <f t="shared" si="10"/>
        <v>Max</v>
      </c>
      <c r="D15" s="197">
        <v>1.0</v>
      </c>
      <c r="E15" s="201"/>
      <c r="F15" s="177"/>
      <c r="K15" s="135">
        <f t="shared" si="11"/>
        <v>3</v>
      </c>
      <c r="L15" s="177" t="str">
        <f t="shared" si="12"/>
        <v>Shawnak</v>
      </c>
      <c r="M15" s="197">
        <v>1.0</v>
      </c>
      <c r="N15" s="205"/>
      <c r="O15" s="177"/>
      <c r="P15" s="177"/>
      <c r="T15" s="132"/>
      <c r="U15" s="7"/>
    </row>
    <row r="16">
      <c r="A16" s="8"/>
      <c r="B16" s="129">
        <f t="shared" si="9"/>
        <v>4</v>
      </c>
      <c r="C16" s="177" t="str">
        <f t="shared" si="10"/>
        <v>Charlie</v>
      </c>
      <c r="D16" s="208"/>
      <c r="E16" s="188">
        <v>1.0</v>
      </c>
      <c r="F16" s="177"/>
      <c r="K16" s="129">
        <f t="shared" si="11"/>
        <v>4</v>
      </c>
      <c r="L16" s="177" t="str">
        <f t="shared" si="12"/>
        <v>Mackie</v>
      </c>
      <c r="M16" s="197">
        <v>1.0</v>
      </c>
      <c r="N16" s="205"/>
      <c r="O16" s="177"/>
      <c r="P16" s="177"/>
      <c r="T16" s="132"/>
      <c r="U16" s="7"/>
    </row>
    <row r="17">
      <c r="A17" s="14"/>
      <c r="B17" s="135">
        <f t="shared" si="9"/>
        <v>4</v>
      </c>
      <c r="C17" s="177" t="str">
        <f t="shared" si="10"/>
        <v>Max</v>
      </c>
      <c r="D17" s="197">
        <v>1.0</v>
      </c>
      <c r="E17" s="201"/>
      <c r="F17" s="177"/>
      <c r="K17" s="135">
        <f t="shared" si="11"/>
        <v>4</v>
      </c>
      <c r="L17" s="177" t="str">
        <f t="shared" si="12"/>
        <v>Shawnak</v>
      </c>
      <c r="M17" s="206"/>
      <c r="N17" s="203">
        <v>1.0</v>
      </c>
      <c r="O17" s="177"/>
      <c r="P17" s="177"/>
      <c r="T17" s="132"/>
      <c r="U17" s="7"/>
    </row>
    <row r="18">
      <c r="A18" s="8"/>
      <c r="B18" s="129">
        <f t="shared" si="9"/>
        <v>5</v>
      </c>
      <c r="C18" s="177" t="str">
        <f t="shared" si="10"/>
        <v>Charlie</v>
      </c>
      <c r="D18" s="197">
        <v>1.0</v>
      </c>
      <c r="E18" s="201"/>
      <c r="F18" s="177"/>
      <c r="K18" s="129">
        <f t="shared" si="11"/>
        <v>5</v>
      </c>
      <c r="L18" s="177" t="str">
        <f t="shared" si="12"/>
        <v>Mackie</v>
      </c>
      <c r="M18" s="208"/>
      <c r="N18" s="188">
        <v>1.0</v>
      </c>
      <c r="O18" s="177"/>
      <c r="P18" s="177"/>
      <c r="T18" s="132"/>
      <c r="U18" s="7"/>
    </row>
    <row r="19">
      <c r="A19" s="14"/>
      <c r="B19" s="135">
        <f t="shared" si="9"/>
        <v>5</v>
      </c>
      <c r="C19" s="177" t="str">
        <f t="shared" si="10"/>
        <v>Max</v>
      </c>
      <c r="D19" s="197"/>
      <c r="E19" s="198">
        <v>1.0</v>
      </c>
      <c r="F19" s="177"/>
      <c r="K19" s="135">
        <f t="shared" si="11"/>
        <v>5</v>
      </c>
      <c r="L19" s="177" t="str">
        <f t="shared" si="12"/>
        <v>Shawnak</v>
      </c>
      <c r="M19" s="206"/>
      <c r="N19" s="203">
        <v>1.0</v>
      </c>
      <c r="O19" s="177"/>
      <c r="P19" s="177"/>
      <c r="T19" s="132"/>
      <c r="U19" s="7"/>
    </row>
    <row r="20">
      <c r="A20" s="8"/>
      <c r="B20" s="129">
        <f t="shared" si="9"/>
        <v>6</v>
      </c>
      <c r="C20" s="177" t="str">
        <f t="shared" si="10"/>
        <v>Charlie</v>
      </c>
      <c r="D20" s="187">
        <v>1.0</v>
      </c>
      <c r="E20" s="201"/>
      <c r="F20" s="177"/>
      <c r="K20" s="129">
        <f t="shared" si="11"/>
        <v>6</v>
      </c>
      <c r="L20" s="177" t="str">
        <f t="shared" si="12"/>
        <v>Mackie</v>
      </c>
      <c r="M20" s="208"/>
      <c r="N20" s="188">
        <v>1.0</v>
      </c>
      <c r="O20" s="177"/>
      <c r="P20" s="177"/>
      <c r="T20" s="132"/>
      <c r="U20" s="7"/>
    </row>
    <row r="21">
      <c r="A21" s="14"/>
      <c r="B21" s="135">
        <f t="shared" si="9"/>
        <v>6</v>
      </c>
      <c r="C21" s="177" t="str">
        <f t="shared" si="10"/>
        <v>Max</v>
      </c>
      <c r="D21" s="208"/>
      <c r="E21" s="188">
        <v>1.0</v>
      </c>
      <c r="F21" s="177"/>
      <c r="K21" s="135">
        <f t="shared" si="11"/>
        <v>6</v>
      </c>
      <c r="L21" s="177" t="str">
        <f t="shared" si="12"/>
        <v>Shawnak</v>
      </c>
      <c r="M21" s="197">
        <v>1.0</v>
      </c>
      <c r="N21" s="205"/>
      <c r="O21" s="177"/>
      <c r="P21" s="177"/>
      <c r="T21" s="132"/>
      <c r="U21" s="7"/>
    </row>
    <row r="22">
      <c r="A22" s="8"/>
      <c r="B22" s="129">
        <f t="shared" si="9"/>
        <v>7</v>
      </c>
      <c r="C22" s="177" t="str">
        <f t="shared" si="10"/>
        <v>Charlie</v>
      </c>
      <c r="D22" s="208"/>
      <c r="E22" s="188">
        <v>1.0</v>
      </c>
      <c r="F22" s="177"/>
      <c r="K22" s="129">
        <f t="shared" si="11"/>
        <v>7</v>
      </c>
      <c r="L22" s="177" t="str">
        <f t="shared" si="12"/>
        <v>Mackie</v>
      </c>
      <c r="M22" s="208"/>
      <c r="N22" s="188">
        <v>1.0</v>
      </c>
      <c r="O22" s="177"/>
      <c r="P22" s="177"/>
      <c r="T22" s="132"/>
      <c r="U22" s="7"/>
    </row>
    <row r="23">
      <c r="A23" s="14"/>
      <c r="B23" s="135">
        <f t="shared" si="9"/>
        <v>7</v>
      </c>
      <c r="C23" s="177" t="str">
        <f t="shared" si="10"/>
        <v>Max</v>
      </c>
      <c r="D23" s="197">
        <v>1.0</v>
      </c>
      <c r="E23" s="205"/>
      <c r="F23" s="177"/>
      <c r="K23" s="135">
        <f t="shared" si="11"/>
        <v>7</v>
      </c>
      <c r="L23" s="177" t="str">
        <f t="shared" si="12"/>
        <v>Shawnak</v>
      </c>
      <c r="M23" s="208"/>
      <c r="N23" s="188">
        <v>1.0</v>
      </c>
      <c r="O23" s="177"/>
      <c r="P23" s="177"/>
      <c r="T23" s="132"/>
      <c r="U23" s="7"/>
    </row>
    <row r="24">
      <c r="A24" s="8"/>
      <c r="B24" s="129">
        <f t="shared" si="9"/>
        <v>8</v>
      </c>
      <c r="C24" s="156" t="str">
        <f t="shared" si="10"/>
        <v>Charlie</v>
      </c>
      <c r="D24" s="180">
        <v>1.0</v>
      </c>
      <c r="E24" s="181"/>
      <c r="K24" s="129">
        <f t="shared" si="11"/>
        <v>8</v>
      </c>
      <c r="L24" s="177" t="str">
        <f t="shared" si="12"/>
        <v>Mackie</v>
      </c>
      <c r="M24" s="187">
        <v>1.0</v>
      </c>
      <c r="N24" s="201"/>
      <c r="O24" s="177"/>
      <c r="P24" s="177"/>
      <c r="T24" s="132"/>
      <c r="U24" s="7"/>
    </row>
    <row r="25">
      <c r="A25" s="14"/>
      <c r="B25" s="135">
        <f t="shared" si="9"/>
        <v>8</v>
      </c>
      <c r="C25" s="156" t="str">
        <f t="shared" si="10"/>
        <v>Max</v>
      </c>
      <c r="D25" s="180">
        <v>1.0</v>
      </c>
      <c r="E25" s="179"/>
      <c r="K25" s="135">
        <f t="shared" si="11"/>
        <v>8</v>
      </c>
      <c r="L25" s="177" t="str">
        <f t="shared" si="12"/>
        <v>Shawnak</v>
      </c>
      <c r="M25" s="197">
        <v>1.0</v>
      </c>
      <c r="N25" s="205"/>
      <c r="O25" s="177"/>
      <c r="P25" s="127">
        <v>1.0</v>
      </c>
      <c r="T25" s="132"/>
      <c r="U25" s="7"/>
    </row>
    <row r="26">
      <c r="A26" s="8"/>
      <c r="B26" s="129">
        <f t="shared" si="9"/>
        <v>9</v>
      </c>
      <c r="C26" s="156" t="str">
        <f t="shared" si="10"/>
        <v>Charlie</v>
      </c>
      <c r="D26" s="180">
        <v>1.0</v>
      </c>
      <c r="E26" s="181"/>
      <c r="F26" s="136">
        <v>1.0</v>
      </c>
      <c r="K26" s="129">
        <f t="shared" si="11"/>
        <v>9</v>
      </c>
      <c r="L26" s="177" t="str">
        <f t="shared" si="12"/>
        <v>Mackie</v>
      </c>
      <c r="M26" s="202">
        <v>1.0</v>
      </c>
      <c r="N26" s="188"/>
      <c r="O26" s="177"/>
      <c r="P26" s="177"/>
      <c r="T26" s="132"/>
      <c r="U26" s="7"/>
    </row>
    <row r="27">
      <c r="A27" s="14"/>
      <c r="B27" s="135">
        <f t="shared" si="9"/>
        <v>9</v>
      </c>
      <c r="C27" s="156" t="str">
        <f t="shared" si="10"/>
        <v>Max</v>
      </c>
      <c r="D27" s="180">
        <v>1.0</v>
      </c>
      <c r="E27" s="181"/>
      <c r="K27" s="135">
        <f t="shared" si="11"/>
        <v>9</v>
      </c>
      <c r="L27" s="177" t="str">
        <f t="shared" si="12"/>
        <v>Shawnak</v>
      </c>
      <c r="M27" s="197">
        <v>1.0</v>
      </c>
      <c r="N27" s="205"/>
      <c r="O27" s="177"/>
      <c r="P27" s="177"/>
      <c r="T27" s="132"/>
      <c r="U27" s="7"/>
    </row>
    <row r="28">
      <c r="A28" s="8"/>
      <c r="B28" s="129">
        <f t="shared" si="9"/>
        <v>10</v>
      </c>
      <c r="C28" s="156" t="str">
        <f t="shared" si="10"/>
        <v>Charlie</v>
      </c>
      <c r="D28" s="180"/>
      <c r="E28" s="179">
        <v>1.0</v>
      </c>
      <c r="K28" s="129">
        <f t="shared" si="11"/>
        <v>10</v>
      </c>
      <c r="L28" s="177" t="str">
        <f t="shared" si="12"/>
        <v>Mackie</v>
      </c>
      <c r="M28" s="197">
        <v>1.0</v>
      </c>
      <c r="N28" s="205"/>
      <c r="O28" s="177"/>
      <c r="P28" s="191">
        <v>1.0</v>
      </c>
      <c r="T28" s="132"/>
      <c r="U28" s="7"/>
    </row>
    <row r="29">
      <c r="A29" s="14"/>
      <c r="B29" s="135">
        <f t="shared" si="9"/>
        <v>10</v>
      </c>
      <c r="C29" s="156" t="str">
        <f t="shared" si="10"/>
        <v>Max</v>
      </c>
      <c r="D29" s="180">
        <v>1.0</v>
      </c>
      <c r="E29" s="179"/>
      <c r="K29" s="135">
        <f t="shared" si="11"/>
        <v>10</v>
      </c>
      <c r="L29" s="177" t="str">
        <f t="shared" si="12"/>
        <v>Shawnak</v>
      </c>
      <c r="M29" s="180">
        <v>1.0</v>
      </c>
      <c r="N29" s="181"/>
      <c r="O29" s="177"/>
      <c r="P29" s="177"/>
      <c r="T29" s="132"/>
      <c r="U29" s="7"/>
    </row>
    <row r="30">
      <c r="A30" s="8"/>
      <c r="B30" s="129">
        <f t="shared" si="9"/>
        <v>11</v>
      </c>
      <c r="C30" s="156" t="str">
        <f t="shared" si="10"/>
        <v>Charlie</v>
      </c>
      <c r="D30" s="180">
        <v>1.0</v>
      </c>
      <c r="E30" s="181"/>
      <c r="K30" s="129">
        <f t="shared" si="11"/>
        <v>11</v>
      </c>
      <c r="L30" s="156" t="str">
        <f t="shared" si="12"/>
        <v>Mackie</v>
      </c>
      <c r="M30" s="180">
        <v>1.0</v>
      </c>
      <c r="N30" s="179"/>
      <c r="T30" s="132"/>
      <c r="U30" s="7"/>
    </row>
    <row r="31">
      <c r="A31" s="14"/>
      <c r="B31" s="135">
        <f t="shared" si="9"/>
        <v>11</v>
      </c>
      <c r="C31" s="156" t="str">
        <f t="shared" si="10"/>
        <v>Max</v>
      </c>
      <c r="D31" s="180"/>
      <c r="E31" s="181"/>
      <c r="K31" s="135">
        <f t="shared" si="11"/>
        <v>11</v>
      </c>
      <c r="L31" s="156" t="str">
        <f t="shared" si="12"/>
        <v>Shawnak</v>
      </c>
      <c r="M31" s="180"/>
      <c r="N31" s="179">
        <v>1.0</v>
      </c>
      <c r="T31" s="132"/>
      <c r="U31" s="7"/>
    </row>
    <row r="32">
      <c r="A32" s="8"/>
      <c r="B32" s="129">
        <f t="shared" si="9"/>
        <v>12</v>
      </c>
      <c r="C32" s="156" t="str">
        <f t="shared" si="10"/>
        <v>Charlie</v>
      </c>
      <c r="D32" s="180"/>
      <c r="E32" s="181"/>
      <c r="K32" s="129">
        <f t="shared" si="11"/>
        <v>12</v>
      </c>
      <c r="L32" s="156" t="str">
        <f t="shared" si="12"/>
        <v>Mackie</v>
      </c>
      <c r="M32" s="180"/>
      <c r="N32" s="179">
        <v>1.0</v>
      </c>
      <c r="T32" s="132"/>
      <c r="U32" s="7"/>
    </row>
    <row r="33">
      <c r="A33" s="14"/>
      <c r="B33" s="135">
        <f t="shared" si="9"/>
        <v>12</v>
      </c>
      <c r="C33" s="156" t="str">
        <f t="shared" si="10"/>
        <v>Max</v>
      </c>
      <c r="D33" s="180"/>
      <c r="E33" s="181"/>
      <c r="K33" s="135">
        <f t="shared" si="11"/>
        <v>12</v>
      </c>
      <c r="L33" s="156" t="str">
        <f t="shared" si="12"/>
        <v>Shawnak</v>
      </c>
      <c r="M33" s="180">
        <v>1.0</v>
      </c>
      <c r="N33" s="179"/>
      <c r="T33" s="132"/>
      <c r="U33" s="7"/>
    </row>
    <row r="34">
      <c r="A34" s="8"/>
      <c r="B34" s="129">
        <f t="shared" si="9"/>
        <v>13</v>
      </c>
      <c r="C34" s="156" t="str">
        <f t="shared" si="10"/>
        <v>Charlie</v>
      </c>
      <c r="D34" s="180"/>
      <c r="E34" s="181"/>
      <c r="K34" s="129">
        <f t="shared" si="11"/>
        <v>13</v>
      </c>
      <c r="L34" s="156" t="str">
        <f t="shared" si="12"/>
        <v>Mackie</v>
      </c>
      <c r="M34" s="180"/>
      <c r="N34" s="181"/>
      <c r="T34" s="132"/>
      <c r="U34" s="7"/>
    </row>
    <row r="35">
      <c r="A35" s="14"/>
      <c r="B35" s="135">
        <f t="shared" si="9"/>
        <v>13</v>
      </c>
      <c r="C35" s="156" t="str">
        <f t="shared" si="10"/>
        <v>Max</v>
      </c>
      <c r="D35" s="180"/>
      <c r="E35" s="181"/>
      <c r="K35" s="135">
        <f t="shared" si="11"/>
        <v>13</v>
      </c>
      <c r="L35" s="156" t="str">
        <f t="shared" si="12"/>
        <v>Shawnak</v>
      </c>
      <c r="M35" s="180"/>
      <c r="N35" s="181"/>
      <c r="T35" s="132"/>
      <c r="U35" s="7"/>
    </row>
    <row r="36">
      <c r="A36" s="8"/>
      <c r="B36" s="129">
        <f t="shared" si="9"/>
        <v>14</v>
      </c>
      <c r="C36" s="156" t="str">
        <f t="shared" si="10"/>
        <v>Charlie</v>
      </c>
      <c r="D36" s="180"/>
      <c r="E36" s="181"/>
      <c r="K36" s="129">
        <f t="shared" si="11"/>
        <v>14</v>
      </c>
      <c r="L36" s="156" t="str">
        <f t="shared" si="12"/>
        <v>Mackie</v>
      </c>
      <c r="M36" s="180"/>
      <c r="N36" s="181"/>
      <c r="T36" s="132"/>
      <c r="U36" s="7"/>
    </row>
    <row r="37">
      <c r="A37" s="14"/>
      <c r="B37" s="135">
        <f t="shared" si="9"/>
        <v>14</v>
      </c>
      <c r="C37" s="156" t="str">
        <f t="shared" si="10"/>
        <v>Max</v>
      </c>
      <c r="D37" s="180"/>
      <c r="E37" s="181"/>
      <c r="K37" s="135">
        <f t="shared" si="11"/>
        <v>14</v>
      </c>
      <c r="L37" s="156" t="str">
        <f t="shared" si="12"/>
        <v>Shawnak</v>
      </c>
      <c r="M37" s="180"/>
      <c r="N37" s="181"/>
      <c r="T37" s="132"/>
      <c r="U37" s="7"/>
    </row>
    <row r="38">
      <c r="A38" s="8"/>
      <c r="B38" s="129">
        <f t="shared" si="9"/>
        <v>15</v>
      </c>
      <c r="C38" s="156" t="str">
        <f t="shared" si="10"/>
        <v>Charlie</v>
      </c>
      <c r="D38" s="180"/>
      <c r="E38" s="181"/>
      <c r="K38" s="129">
        <f t="shared" si="11"/>
        <v>15</v>
      </c>
      <c r="L38" s="156" t="str">
        <f t="shared" si="12"/>
        <v>Mackie</v>
      </c>
      <c r="M38" s="180"/>
      <c r="N38" s="181"/>
      <c r="T38" s="132"/>
      <c r="U38" s="7"/>
    </row>
    <row r="39">
      <c r="A39" s="14"/>
      <c r="B39" s="135">
        <f t="shared" si="9"/>
        <v>15</v>
      </c>
      <c r="C39" s="156" t="str">
        <f t="shared" si="10"/>
        <v>Max</v>
      </c>
      <c r="D39" s="180"/>
      <c r="E39" s="181"/>
      <c r="K39" s="135">
        <f t="shared" si="11"/>
        <v>15</v>
      </c>
      <c r="L39" s="156" t="str">
        <f t="shared" si="12"/>
        <v>Shawnak</v>
      </c>
      <c r="M39" s="180"/>
      <c r="N39" s="181"/>
      <c r="T39" s="132"/>
      <c r="U39" s="7"/>
    </row>
    <row r="40">
      <c r="A40" s="8"/>
      <c r="B40" s="129">
        <f t="shared" si="9"/>
        <v>16</v>
      </c>
      <c r="C40" s="156" t="str">
        <f t="shared" si="10"/>
        <v>Charlie</v>
      </c>
      <c r="D40" s="180"/>
      <c r="E40" s="179"/>
      <c r="K40" s="129">
        <f t="shared" si="11"/>
        <v>16</v>
      </c>
      <c r="L40" s="156" t="str">
        <f t="shared" si="12"/>
        <v>Mackie</v>
      </c>
      <c r="M40" s="180"/>
      <c r="N40" s="181"/>
      <c r="T40" s="132"/>
      <c r="U40" s="7"/>
    </row>
    <row r="41">
      <c r="A41" s="14"/>
      <c r="B41" s="135">
        <f t="shared" si="9"/>
        <v>16</v>
      </c>
      <c r="C41" s="156" t="str">
        <f t="shared" si="10"/>
        <v>Max</v>
      </c>
      <c r="D41" s="180"/>
      <c r="E41" s="181"/>
      <c r="K41" s="135">
        <f t="shared" si="11"/>
        <v>16</v>
      </c>
      <c r="L41" s="156" t="str">
        <f t="shared" si="12"/>
        <v>Shawnak</v>
      </c>
      <c r="M41" s="178"/>
      <c r="N41" s="179"/>
      <c r="T41" s="132"/>
      <c r="U41" s="7"/>
    </row>
    <row r="42">
      <c r="A42" s="8"/>
      <c r="B42" s="129">
        <f t="shared" si="9"/>
        <v>17</v>
      </c>
      <c r="C42" s="156" t="str">
        <f t="shared" si="10"/>
        <v>Charlie</v>
      </c>
      <c r="D42" s="180"/>
      <c r="E42" s="181"/>
      <c r="K42" s="129">
        <f t="shared" si="11"/>
        <v>17</v>
      </c>
      <c r="L42" s="156" t="str">
        <f t="shared" si="12"/>
        <v>Mackie</v>
      </c>
      <c r="M42" s="180"/>
      <c r="N42" s="181"/>
      <c r="T42" s="132"/>
      <c r="U42" s="7"/>
    </row>
    <row r="43">
      <c r="A43" s="14"/>
      <c r="B43" s="135">
        <f t="shared" si="9"/>
        <v>17</v>
      </c>
      <c r="C43" s="156" t="str">
        <f t="shared" si="10"/>
        <v>Max</v>
      </c>
      <c r="D43" s="178"/>
      <c r="E43" s="179"/>
      <c r="K43" s="135">
        <f t="shared" si="11"/>
        <v>17</v>
      </c>
      <c r="L43" s="156" t="str">
        <f t="shared" si="12"/>
        <v>Shawnak</v>
      </c>
      <c r="M43" s="180"/>
      <c r="N43" s="181"/>
      <c r="T43" s="132"/>
      <c r="U43" s="7"/>
    </row>
    <row r="44">
      <c r="A44" s="8"/>
      <c r="B44" s="129">
        <f t="shared" si="9"/>
        <v>18</v>
      </c>
      <c r="C44" s="156" t="str">
        <f t="shared" si="10"/>
        <v>Charlie</v>
      </c>
      <c r="D44" s="180"/>
      <c r="E44" s="181"/>
      <c r="K44" s="129">
        <f t="shared" si="11"/>
        <v>18</v>
      </c>
      <c r="L44" s="156" t="str">
        <f t="shared" si="12"/>
        <v>Mackie</v>
      </c>
      <c r="M44" s="180"/>
      <c r="N44" s="181"/>
      <c r="T44" s="132"/>
      <c r="U44" s="7"/>
    </row>
    <row r="45">
      <c r="A45" s="8"/>
      <c r="B45" s="129">
        <f t="shared" si="9"/>
        <v>18</v>
      </c>
      <c r="C45" s="156" t="str">
        <f t="shared" si="10"/>
        <v>Max</v>
      </c>
      <c r="D45" s="180"/>
      <c r="E45" s="181"/>
      <c r="K45" s="129">
        <f t="shared" si="11"/>
        <v>18</v>
      </c>
      <c r="L45" s="156" t="str">
        <f t="shared" si="12"/>
        <v>Shawnak</v>
      </c>
      <c r="M45" s="180"/>
      <c r="N45" s="181"/>
      <c r="T45" s="132"/>
      <c r="U45" s="7"/>
    </row>
    <row r="46">
      <c r="A46" s="14"/>
      <c r="B46" s="135">
        <f t="shared" si="9"/>
        <v>19</v>
      </c>
      <c r="C46" s="156" t="str">
        <f t="shared" si="10"/>
        <v>Charlie</v>
      </c>
      <c r="D46" s="180"/>
      <c r="E46" s="181"/>
      <c r="K46" s="135">
        <f t="shared" si="11"/>
        <v>19</v>
      </c>
      <c r="L46" s="156" t="str">
        <f t="shared" si="12"/>
        <v>Mackie</v>
      </c>
      <c r="M46" s="180"/>
      <c r="N46" s="181"/>
      <c r="T46" s="132"/>
      <c r="U46" s="7"/>
    </row>
    <row r="47">
      <c r="A47" s="8"/>
      <c r="B47" s="129">
        <f t="shared" si="9"/>
        <v>19</v>
      </c>
      <c r="C47" s="156" t="str">
        <f t="shared" si="10"/>
        <v>Max</v>
      </c>
      <c r="D47" s="180"/>
      <c r="E47" s="181"/>
      <c r="K47" s="129">
        <f t="shared" si="11"/>
        <v>19</v>
      </c>
      <c r="L47" s="156" t="str">
        <f t="shared" si="12"/>
        <v>Shawnak</v>
      </c>
      <c r="M47" s="180"/>
      <c r="N47" s="181"/>
      <c r="T47" s="132"/>
      <c r="U47" s="7"/>
    </row>
    <row r="48">
      <c r="A48" s="14"/>
      <c r="B48" s="135">
        <f t="shared" si="9"/>
        <v>20</v>
      </c>
      <c r="C48" s="156" t="str">
        <f t="shared" si="10"/>
        <v>Charlie</v>
      </c>
      <c r="D48" s="180"/>
      <c r="E48" s="181"/>
      <c r="K48" s="135">
        <f t="shared" si="11"/>
        <v>20</v>
      </c>
      <c r="L48" s="156" t="str">
        <f t="shared" si="12"/>
        <v>Mackie</v>
      </c>
      <c r="M48" s="178"/>
      <c r="N48" s="179"/>
      <c r="T48" s="132"/>
      <c r="U48" s="7"/>
    </row>
    <row r="49">
      <c r="A49" s="8"/>
      <c r="B49" s="129">
        <f t="shared" si="9"/>
        <v>20</v>
      </c>
      <c r="C49" s="156" t="str">
        <f t="shared" si="10"/>
        <v>Max</v>
      </c>
      <c r="D49" s="178"/>
      <c r="E49" s="179"/>
      <c r="K49" s="129">
        <f t="shared" si="11"/>
        <v>20</v>
      </c>
      <c r="L49" s="156" t="str">
        <f t="shared" si="12"/>
        <v>Shawnak</v>
      </c>
      <c r="M49" s="180"/>
      <c r="N49" s="181"/>
      <c r="T49" s="132"/>
      <c r="U49" s="7"/>
    </row>
    <row r="50">
      <c r="A50" s="8"/>
      <c r="B50" s="129">
        <f t="shared" si="9"/>
        <v>21</v>
      </c>
      <c r="C50" s="156" t="str">
        <f t="shared" si="10"/>
        <v>Charlie</v>
      </c>
      <c r="D50" s="180"/>
      <c r="E50" s="181"/>
      <c r="K50" s="129">
        <f t="shared" si="11"/>
        <v>21</v>
      </c>
      <c r="L50" s="156" t="str">
        <f t="shared" si="12"/>
        <v>Mackie</v>
      </c>
      <c r="M50" s="180"/>
      <c r="N50" s="181"/>
      <c r="T50" s="132"/>
      <c r="U50" s="7"/>
    </row>
    <row r="51">
      <c r="A51" s="14"/>
      <c r="B51" s="135">
        <f t="shared" si="9"/>
        <v>21</v>
      </c>
      <c r="C51" s="156" t="str">
        <f t="shared" si="10"/>
        <v>Max</v>
      </c>
      <c r="D51" s="180"/>
      <c r="E51" s="181"/>
      <c r="K51" s="135">
        <f t="shared" si="11"/>
        <v>21</v>
      </c>
      <c r="L51" s="156" t="str">
        <f t="shared" si="12"/>
        <v>Shawnak</v>
      </c>
      <c r="M51" s="180"/>
      <c r="N51" s="181"/>
      <c r="T51" s="132"/>
      <c r="U51" s="7"/>
    </row>
    <row r="52">
      <c r="A52" s="8"/>
      <c r="B52" s="129">
        <f t="shared" si="9"/>
        <v>22</v>
      </c>
      <c r="C52" s="156" t="str">
        <f t="shared" si="10"/>
        <v>Charlie</v>
      </c>
      <c r="D52" s="178"/>
      <c r="E52" s="181"/>
      <c r="K52" s="129">
        <f t="shared" si="11"/>
        <v>22</v>
      </c>
      <c r="L52" s="156" t="str">
        <f t="shared" si="12"/>
        <v>Mackie</v>
      </c>
      <c r="M52" s="178"/>
      <c r="N52" s="181"/>
      <c r="T52" s="132"/>
      <c r="U52" s="7"/>
    </row>
    <row r="53">
      <c r="A53" s="14"/>
      <c r="B53" s="135">
        <f t="shared" si="9"/>
        <v>22</v>
      </c>
      <c r="C53" s="156" t="str">
        <f t="shared" si="10"/>
        <v>Max</v>
      </c>
      <c r="D53" s="178"/>
      <c r="E53" s="181"/>
      <c r="K53" s="135">
        <f t="shared" si="11"/>
        <v>22</v>
      </c>
      <c r="L53" s="156" t="str">
        <f t="shared" si="12"/>
        <v>Shawnak</v>
      </c>
      <c r="M53" s="178"/>
      <c r="N53" s="181"/>
      <c r="T53" s="132"/>
      <c r="U53" s="7"/>
    </row>
    <row r="54">
      <c r="A54" s="8"/>
      <c r="B54" s="129">
        <f t="shared" si="9"/>
        <v>23</v>
      </c>
      <c r="C54" s="156" t="str">
        <f t="shared" si="10"/>
        <v>Charlie</v>
      </c>
      <c r="D54" s="178"/>
      <c r="E54" s="181"/>
      <c r="K54" s="129">
        <f t="shared" si="11"/>
        <v>23</v>
      </c>
      <c r="L54" s="156" t="str">
        <f t="shared" si="12"/>
        <v>Mackie</v>
      </c>
      <c r="M54" s="178"/>
      <c r="N54" s="181"/>
      <c r="T54" s="132"/>
      <c r="U54" s="7"/>
    </row>
    <row r="55">
      <c r="A55" s="14"/>
      <c r="B55" s="135">
        <f t="shared" si="9"/>
        <v>23</v>
      </c>
      <c r="C55" s="156" t="str">
        <f t="shared" si="10"/>
        <v>Max</v>
      </c>
      <c r="D55" s="178"/>
      <c r="E55" s="181"/>
      <c r="K55" s="135">
        <f t="shared" si="11"/>
        <v>23</v>
      </c>
      <c r="L55" s="156" t="str">
        <f t="shared" si="12"/>
        <v>Shawnak</v>
      </c>
      <c r="M55" s="178"/>
      <c r="N55" s="181"/>
      <c r="T55" s="132"/>
      <c r="U55" s="7"/>
    </row>
    <row r="56">
      <c r="A56" s="8"/>
      <c r="B56" s="129">
        <f t="shared" si="9"/>
        <v>24</v>
      </c>
      <c r="C56" s="156" t="str">
        <f t="shared" si="10"/>
        <v>Charlie</v>
      </c>
      <c r="D56" s="178"/>
      <c r="E56" s="181"/>
      <c r="K56" s="129">
        <f t="shared" si="11"/>
        <v>24</v>
      </c>
      <c r="L56" s="156" t="str">
        <f t="shared" si="12"/>
        <v>Mackie</v>
      </c>
      <c r="M56" s="178"/>
      <c r="N56" s="181"/>
      <c r="T56" s="132"/>
      <c r="U56" s="7"/>
    </row>
    <row r="57">
      <c r="A57" s="8"/>
      <c r="B57" s="129">
        <f t="shared" si="9"/>
        <v>24</v>
      </c>
      <c r="C57" s="156" t="str">
        <f t="shared" si="10"/>
        <v>Max</v>
      </c>
      <c r="D57" s="178"/>
      <c r="E57" s="181"/>
      <c r="K57" s="129">
        <f t="shared" si="11"/>
        <v>24</v>
      </c>
      <c r="L57" s="156" t="str">
        <f t="shared" si="12"/>
        <v>Shawnak</v>
      </c>
      <c r="M57" s="178"/>
      <c r="N57" s="181"/>
      <c r="T57" s="132"/>
      <c r="U57" s="7"/>
    </row>
    <row r="58">
      <c r="A58" s="14"/>
      <c r="B58" s="135">
        <f t="shared" si="9"/>
        <v>25</v>
      </c>
      <c r="C58" s="156" t="str">
        <f t="shared" si="10"/>
        <v>Charlie</v>
      </c>
      <c r="D58" s="178"/>
      <c r="E58" s="181"/>
      <c r="K58" s="135">
        <f t="shared" si="11"/>
        <v>25</v>
      </c>
      <c r="L58" s="156" t="str">
        <f t="shared" si="12"/>
        <v>Mackie</v>
      </c>
      <c r="M58" s="178"/>
      <c r="N58" s="181"/>
      <c r="T58" s="132"/>
      <c r="U58" s="7"/>
    </row>
    <row r="59">
      <c r="A59" s="8"/>
      <c r="B59" s="129">
        <f t="shared" si="9"/>
        <v>25</v>
      </c>
      <c r="C59" s="156" t="str">
        <f t="shared" si="10"/>
        <v>Max</v>
      </c>
      <c r="D59" s="178"/>
      <c r="E59" s="181"/>
      <c r="K59" s="129">
        <f t="shared" si="11"/>
        <v>25</v>
      </c>
      <c r="L59" s="156" t="str">
        <f t="shared" si="12"/>
        <v>Shawnak</v>
      </c>
      <c r="M59" s="178"/>
      <c r="N59" s="181"/>
      <c r="T59" s="132"/>
      <c r="U59" s="7"/>
    </row>
    <row r="60">
      <c r="A60" s="14"/>
      <c r="B60" s="135">
        <f t="shared" si="9"/>
        <v>26</v>
      </c>
      <c r="C60" s="156" t="str">
        <f t="shared" si="10"/>
        <v>Charlie</v>
      </c>
      <c r="D60" s="178"/>
      <c r="E60" s="181"/>
      <c r="K60" s="135">
        <f t="shared" si="11"/>
        <v>26</v>
      </c>
      <c r="L60" s="156" t="str">
        <f t="shared" si="12"/>
        <v>Mackie</v>
      </c>
      <c r="M60" s="178"/>
      <c r="N60" s="181"/>
      <c r="T60" s="132"/>
      <c r="U60" s="7"/>
    </row>
    <row r="61">
      <c r="A61" s="8"/>
      <c r="B61" s="129">
        <f t="shared" si="9"/>
        <v>26</v>
      </c>
      <c r="C61" s="156" t="str">
        <f t="shared" si="10"/>
        <v>Max</v>
      </c>
      <c r="D61" s="178"/>
      <c r="E61" s="181"/>
      <c r="K61" s="129">
        <f t="shared" si="11"/>
        <v>26</v>
      </c>
      <c r="L61" s="156" t="str">
        <f t="shared" si="12"/>
        <v>Shawnak</v>
      </c>
      <c r="M61" s="178"/>
      <c r="N61" s="181"/>
      <c r="T61" s="132"/>
      <c r="U61" s="7"/>
    </row>
    <row r="62">
      <c r="A62" s="14"/>
      <c r="B62" s="135">
        <f t="shared" si="9"/>
        <v>27</v>
      </c>
      <c r="C62" s="156" t="str">
        <f t="shared" si="10"/>
        <v>Charlie</v>
      </c>
      <c r="D62" s="178"/>
      <c r="E62" s="181"/>
      <c r="K62" s="135">
        <f t="shared" si="11"/>
        <v>27</v>
      </c>
      <c r="L62" s="156" t="str">
        <f t="shared" si="12"/>
        <v>Mackie</v>
      </c>
      <c r="M62" s="178"/>
      <c r="N62" s="181"/>
      <c r="T62" s="132"/>
      <c r="U62" s="7"/>
    </row>
    <row r="63">
      <c r="A63" s="8"/>
      <c r="B63" s="129">
        <f t="shared" si="9"/>
        <v>27</v>
      </c>
      <c r="C63" s="156" t="str">
        <f t="shared" si="10"/>
        <v>Max</v>
      </c>
      <c r="D63" s="178"/>
      <c r="E63" s="181"/>
      <c r="K63" s="129">
        <f t="shared" si="11"/>
        <v>27</v>
      </c>
      <c r="L63" s="156" t="str">
        <f t="shared" si="12"/>
        <v>Shawnak</v>
      </c>
      <c r="M63" s="178"/>
      <c r="N63" s="181"/>
      <c r="T63" s="132"/>
      <c r="U63" s="7"/>
    </row>
    <row r="64">
      <c r="A64" s="14"/>
      <c r="B64" s="135">
        <f t="shared" si="9"/>
        <v>28</v>
      </c>
      <c r="C64" s="156" t="str">
        <f t="shared" si="10"/>
        <v>Charlie</v>
      </c>
      <c r="D64" s="178"/>
      <c r="E64" s="181"/>
      <c r="K64" s="135">
        <f t="shared" si="11"/>
        <v>28</v>
      </c>
      <c r="L64" s="156" t="str">
        <f t="shared" si="12"/>
        <v>Mackie</v>
      </c>
      <c r="M64" s="178"/>
      <c r="N64" s="181"/>
      <c r="T64" s="132"/>
      <c r="U64" s="7"/>
    </row>
    <row r="65">
      <c r="A65" s="8"/>
      <c r="B65" s="129">
        <f t="shared" si="9"/>
        <v>28</v>
      </c>
      <c r="C65" s="156" t="str">
        <f t="shared" si="10"/>
        <v>Max</v>
      </c>
      <c r="D65" s="178"/>
      <c r="E65" s="181"/>
      <c r="K65" s="129">
        <f t="shared" si="11"/>
        <v>28</v>
      </c>
      <c r="L65" s="156" t="str">
        <f t="shared" si="12"/>
        <v>Shawnak</v>
      </c>
      <c r="M65" s="178"/>
      <c r="N65" s="181"/>
      <c r="T65" s="132"/>
      <c r="U65" s="7"/>
    </row>
    <row r="66">
      <c r="A66" s="14"/>
      <c r="B66" s="135">
        <f t="shared" si="9"/>
        <v>29</v>
      </c>
      <c r="C66" s="156" t="str">
        <f t="shared" si="10"/>
        <v>Charlie</v>
      </c>
      <c r="D66" s="178"/>
      <c r="E66" s="181"/>
      <c r="K66" s="135">
        <f t="shared" si="11"/>
        <v>29</v>
      </c>
      <c r="L66" s="156" t="str">
        <f t="shared" si="12"/>
        <v>Mackie</v>
      </c>
      <c r="M66" s="178"/>
      <c r="N66" s="181"/>
      <c r="T66" s="132"/>
      <c r="U66" s="7"/>
    </row>
    <row r="67">
      <c r="A67" s="14"/>
      <c r="B67" s="135">
        <f t="shared" si="9"/>
        <v>29</v>
      </c>
      <c r="C67" s="156" t="str">
        <f t="shared" si="10"/>
        <v>Max</v>
      </c>
      <c r="D67" s="178"/>
      <c r="E67" s="181"/>
      <c r="K67" s="135">
        <f t="shared" si="11"/>
        <v>29</v>
      </c>
      <c r="L67" s="156" t="str">
        <f t="shared" si="12"/>
        <v>Shawnak</v>
      </c>
      <c r="M67" s="178"/>
      <c r="N67" s="181"/>
      <c r="T67" s="132"/>
      <c r="U67" s="7"/>
    </row>
    <row r="68">
      <c r="A68" s="14"/>
      <c r="B68" s="135">
        <f t="shared" si="9"/>
        <v>30</v>
      </c>
      <c r="C68" s="156" t="str">
        <f t="shared" si="10"/>
        <v>Charlie</v>
      </c>
      <c r="D68" s="178"/>
      <c r="E68" s="181"/>
      <c r="K68" s="135">
        <f t="shared" si="11"/>
        <v>30</v>
      </c>
      <c r="L68" s="156" t="str">
        <f t="shared" si="12"/>
        <v>Mackie</v>
      </c>
      <c r="M68" s="178"/>
      <c r="N68" s="181"/>
      <c r="T68" s="132"/>
      <c r="U68" s="7"/>
    </row>
    <row r="69">
      <c r="A69" s="14"/>
      <c r="B69" s="135">
        <f t="shared" si="9"/>
        <v>30</v>
      </c>
      <c r="C69" s="156" t="str">
        <f t="shared" si="10"/>
        <v>Max</v>
      </c>
      <c r="D69" s="178"/>
      <c r="E69" s="181"/>
      <c r="K69" s="135">
        <f t="shared" si="11"/>
        <v>30</v>
      </c>
      <c r="L69" s="156" t="str">
        <f t="shared" si="12"/>
        <v>Shawnak</v>
      </c>
      <c r="M69" s="178"/>
      <c r="N69" s="181"/>
      <c r="T69" s="132"/>
      <c r="U69" s="7"/>
    </row>
    <row r="70">
      <c r="A70" s="125"/>
      <c r="B70" s="126">
        <v>31.0</v>
      </c>
      <c r="C70" s="156" t="str">
        <f t="shared" si="10"/>
        <v>Charlie</v>
      </c>
      <c r="D70" s="182"/>
      <c r="E70" s="183"/>
      <c r="F70" s="184"/>
      <c r="G70" s="184"/>
      <c r="H70" s="185"/>
      <c r="I70" s="185"/>
      <c r="K70" s="126">
        <v>31.0</v>
      </c>
      <c r="L70" s="156" t="str">
        <f t="shared" si="12"/>
        <v>Mackie</v>
      </c>
      <c r="M70" s="182"/>
      <c r="N70" s="183"/>
      <c r="O70" s="184"/>
      <c r="P70" s="184"/>
      <c r="Q70" s="185"/>
      <c r="R70" s="186"/>
      <c r="T70" s="132"/>
      <c r="U70" s="7"/>
    </row>
    <row r="71">
      <c r="A71" s="125"/>
      <c r="B71" s="126">
        <v>31.0</v>
      </c>
      <c r="C71" s="156" t="str">
        <f t="shared" si="10"/>
        <v>Max</v>
      </c>
      <c r="D71" s="187"/>
      <c r="E71" s="188"/>
      <c r="F71" s="189"/>
      <c r="G71" s="189"/>
      <c r="H71" s="189"/>
      <c r="I71" s="189"/>
      <c r="K71" s="126">
        <v>31.0</v>
      </c>
      <c r="L71" s="156" t="str">
        <f t="shared" si="12"/>
        <v>Shawnak</v>
      </c>
      <c r="M71" s="187"/>
      <c r="N71" s="188"/>
      <c r="O71" s="189"/>
      <c r="P71" s="189"/>
      <c r="Q71" s="189"/>
      <c r="R71" s="190"/>
      <c r="T71" s="132"/>
      <c r="U71" s="7"/>
    </row>
    <row r="72">
      <c r="A72" s="125"/>
      <c r="B72" s="126">
        <v>32.0</v>
      </c>
      <c r="C72" s="156" t="str">
        <f t="shared" si="10"/>
        <v>Charlie</v>
      </c>
      <c r="D72" s="187"/>
      <c r="E72" s="188"/>
      <c r="F72" s="191"/>
      <c r="G72" s="191"/>
      <c r="H72" s="191"/>
      <c r="I72" s="191"/>
      <c r="K72" s="126">
        <v>32.0</v>
      </c>
      <c r="L72" s="156" t="str">
        <f t="shared" si="12"/>
        <v>Mackie</v>
      </c>
      <c r="M72" s="187"/>
      <c r="N72" s="188"/>
      <c r="O72" s="191"/>
      <c r="P72" s="191"/>
      <c r="Q72" s="191"/>
      <c r="T72" s="132"/>
      <c r="U72" s="7"/>
    </row>
    <row r="73">
      <c r="A73" s="8"/>
      <c r="B73" s="129">
        <v>32.0</v>
      </c>
      <c r="C73" s="156" t="str">
        <f t="shared" si="10"/>
        <v>Max</v>
      </c>
      <c r="D73" s="178"/>
      <c r="E73" s="181"/>
      <c r="K73" s="129">
        <v>32.0</v>
      </c>
      <c r="L73" s="156" t="str">
        <f t="shared" si="12"/>
        <v>Shawnak</v>
      </c>
      <c r="M73" s="178"/>
      <c r="N73" s="181"/>
      <c r="T73" s="132"/>
      <c r="U73" s="7"/>
    </row>
    <row r="74">
      <c r="A74" s="8"/>
      <c r="B74" s="129">
        <v>33.0</v>
      </c>
      <c r="C74" s="156" t="str">
        <f t="shared" si="10"/>
        <v>Charlie</v>
      </c>
      <c r="D74" s="192"/>
      <c r="E74" s="181"/>
      <c r="K74" s="129">
        <v>33.0</v>
      </c>
      <c r="L74" s="156" t="str">
        <f t="shared" si="12"/>
        <v>Mackie</v>
      </c>
      <c r="M74" s="178"/>
      <c r="N74" s="181"/>
      <c r="T74" s="132"/>
      <c r="U74" s="7"/>
    </row>
    <row r="75">
      <c r="A75" s="8"/>
      <c r="B75" s="129">
        <v>33.0</v>
      </c>
      <c r="C75" s="156" t="str">
        <f t="shared" si="10"/>
        <v>Max</v>
      </c>
      <c r="D75" s="178"/>
      <c r="E75" s="181"/>
      <c r="K75" s="129">
        <v>33.0</v>
      </c>
      <c r="L75" s="156" t="str">
        <f t="shared" si="12"/>
        <v>Shawnak</v>
      </c>
      <c r="M75" s="178"/>
      <c r="N75" s="181"/>
      <c r="T75" s="132"/>
      <c r="U75" s="7"/>
    </row>
    <row r="76">
      <c r="A76" s="8"/>
      <c r="B76" s="129">
        <v>34.0</v>
      </c>
      <c r="C76" s="156" t="str">
        <f t="shared" si="10"/>
        <v>Charlie</v>
      </c>
      <c r="D76" s="178"/>
      <c r="E76" s="181"/>
      <c r="K76" s="129">
        <v>34.0</v>
      </c>
      <c r="L76" s="156" t="str">
        <f t="shared" si="12"/>
        <v>Mackie</v>
      </c>
      <c r="M76" s="178"/>
      <c r="N76" s="181"/>
      <c r="T76" s="132"/>
      <c r="U76" s="7"/>
    </row>
    <row r="77">
      <c r="A77" s="8"/>
      <c r="B77" s="129">
        <v>34.0</v>
      </c>
      <c r="C77" s="156" t="str">
        <f t="shared" si="10"/>
        <v>Max</v>
      </c>
      <c r="D77" s="178"/>
      <c r="E77" s="181"/>
      <c r="K77" s="129">
        <v>34.0</v>
      </c>
      <c r="L77" s="156" t="str">
        <f t="shared" si="12"/>
        <v>Shawnak</v>
      </c>
      <c r="M77" s="178"/>
      <c r="N77" s="181"/>
      <c r="T77" s="132"/>
      <c r="U77" s="7"/>
    </row>
    <row r="78">
      <c r="A78" s="8"/>
      <c r="B78" s="129">
        <v>35.0</v>
      </c>
      <c r="C78" s="156" t="str">
        <f t="shared" si="10"/>
        <v>Charlie</v>
      </c>
      <c r="D78" s="178"/>
      <c r="E78" s="181"/>
      <c r="K78" s="129">
        <v>35.0</v>
      </c>
      <c r="L78" s="156" t="str">
        <f t="shared" si="12"/>
        <v>Mackie</v>
      </c>
      <c r="M78" s="178"/>
      <c r="N78" s="181"/>
      <c r="T78" s="132"/>
      <c r="U78" s="7"/>
    </row>
    <row r="79">
      <c r="A79" s="8"/>
      <c r="B79" s="129">
        <v>35.0</v>
      </c>
      <c r="C79" s="156" t="str">
        <f t="shared" si="10"/>
        <v>Max</v>
      </c>
      <c r="D79" s="178"/>
      <c r="E79" s="181"/>
      <c r="K79" s="129">
        <v>35.0</v>
      </c>
      <c r="L79" s="156" t="str">
        <f t="shared" si="12"/>
        <v>Shawnak</v>
      </c>
      <c r="M79" s="178"/>
      <c r="N79" s="181"/>
      <c r="T79" s="132"/>
      <c r="U79" s="7"/>
    </row>
    <row r="80">
      <c r="A80" s="8"/>
      <c r="B80" s="129">
        <v>36.0</v>
      </c>
      <c r="C80" s="156" t="str">
        <f t="shared" si="10"/>
        <v>Charlie</v>
      </c>
      <c r="D80" s="178"/>
      <c r="E80" s="181"/>
      <c r="K80" s="129">
        <v>36.0</v>
      </c>
      <c r="L80" s="156" t="str">
        <f t="shared" si="12"/>
        <v>Mackie</v>
      </c>
      <c r="M80" s="178"/>
      <c r="N80" s="181"/>
      <c r="T80" s="132"/>
      <c r="U80" s="7"/>
    </row>
    <row r="81">
      <c r="A81" s="8"/>
      <c r="B81" s="129">
        <v>36.0</v>
      </c>
      <c r="C81" s="156" t="str">
        <f t="shared" si="10"/>
        <v>Max</v>
      </c>
      <c r="D81" s="178"/>
      <c r="E81" s="181"/>
      <c r="K81" s="129">
        <v>36.0</v>
      </c>
      <c r="L81" s="156" t="str">
        <f t="shared" si="12"/>
        <v>Shawnak</v>
      </c>
      <c r="M81" s="178"/>
      <c r="N81" s="181"/>
      <c r="T81" s="132"/>
      <c r="U81" s="7"/>
    </row>
    <row r="82">
      <c r="A82" s="8"/>
      <c r="B82" s="129">
        <v>37.0</v>
      </c>
      <c r="C82" s="156" t="str">
        <f t="shared" si="10"/>
        <v>Charlie</v>
      </c>
      <c r="D82" s="178"/>
      <c r="E82" s="181"/>
      <c r="K82" s="129">
        <v>37.0</v>
      </c>
      <c r="L82" s="156" t="str">
        <f t="shared" si="12"/>
        <v>Mackie</v>
      </c>
      <c r="M82" s="178"/>
      <c r="N82" s="181"/>
      <c r="T82" s="132"/>
      <c r="U82" s="7"/>
    </row>
    <row r="83">
      <c r="A83" s="8"/>
      <c r="B83" s="129">
        <v>37.0</v>
      </c>
      <c r="C83" s="156" t="str">
        <f t="shared" si="10"/>
        <v>Max</v>
      </c>
      <c r="D83" s="178"/>
      <c r="E83" s="181"/>
      <c r="K83" s="129">
        <v>37.0</v>
      </c>
      <c r="L83" s="156" t="str">
        <f t="shared" si="12"/>
        <v>Shawnak</v>
      </c>
      <c r="M83" s="178"/>
      <c r="N83" s="181"/>
      <c r="T83" s="132"/>
      <c r="U83" s="7"/>
    </row>
    <row r="84">
      <c r="A84" s="8"/>
      <c r="B84" s="129">
        <v>38.0</v>
      </c>
      <c r="C84" s="156" t="str">
        <f t="shared" si="10"/>
        <v>Charlie</v>
      </c>
      <c r="D84" s="178"/>
      <c r="E84" s="181"/>
      <c r="K84" s="129">
        <v>38.0</v>
      </c>
      <c r="L84" s="156" t="str">
        <f t="shared" si="12"/>
        <v>Mackie</v>
      </c>
      <c r="M84" s="178"/>
      <c r="N84" s="181"/>
      <c r="T84" s="132"/>
      <c r="U84" s="7"/>
    </row>
    <row r="85">
      <c r="A85" s="8"/>
      <c r="B85" s="129">
        <v>38.0</v>
      </c>
      <c r="C85" s="156" t="str">
        <f t="shared" si="10"/>
        <v>Max</v>
      </c>
      <c r="D85" s="178"/>
      <c r="E85" s="181"/>
      <c r="K85" s="129">
        <v>38.0</v>
      </c>
      <c r="L85" s="156" t="str">
        <f t="shared" si="12"/>
        <v>Shawnak</v>
      </c>
      <c r="M85" s="178"/>
      <c r="N85" s="181"/>
      <c r="T85" s="132"/>
      <c r="U85" s="7"/>
    </row>
    <row r="86">
      <c r="A86" s="8"/>
      <c r="B86" s="129">
        <v>39.0</v>
      </c>
      <c r="C86" s="156" t="str">
        <f t="shared" si="10"/>
        <v>Charlie</v>
      </c>
      <c r="D86" s="178"/>
      <c r="E86" s="181"/>
      <c r="K86" s="129">
        <v>39.0</v>
      </c>
      <c r="L86" s="156" t="str">
        <f t="shared" si="12"/>
        <v>Mackie</v>
      </c>
      <c r="M86" s="178"/>
      <c r="N86" s="181"/>
      <c r="T86" s="132"/>
      <c r="U86" s="7"/>
    </row>
    <row r="87">
      <c r="A87" s="8"/>
      <c r="B87" s="129">
        <v>39.0</v>
      </c>
      <c r="C87" s="156" t="str">
        <f t="shared" si="10"/>
        <v>Max</v>
      </c>
      <c r="D87" s="178"/>
      <c r="E87" s="181"/>
      <c r="K87" s="129">
        <v>39.0</v>
      </c>
      <c r="L87" s="156" t="str">
        <f t="shared" si="12"/>
        <v>Shawnak</v>
      </c>
      <c r="M87" s="178"/>
      <c r="N87" s="181"/>
      <c r="T87" s="132"/>
      <c r="U87" s="7"/>
    </row>
    <row r="88">
      <c r="A88" s="8"/>
      <c r="B88" s="129">
        <v>40.0</v>
      </c>
      <c r="C88" s="156" t="str">
        <f t="shared" si="10"/>
        <v>Charlie</v>
      </c>
      <c r="D88" s="178"/>
      <c r="E88" s="181"/>
      <c r="K88" s="129">
        <v>40.0</v>
      </c>
      <c r="L88" s="156" t="str">
        <f t="shared" si="12"/>
        <v>Mackie</v>
      </c>
      <c r="M88" s="178"/>
      <c r="N88" s="181"/>
      <c r="T88" s="132"/>
      <c r="U88" s="7"/>
    </row>
    <row r="89">
      <c r="A89" s="8"/>
      <c r="B89" s="129">
        <v>40.0</v>
      </c>
      <c r="C89" s="156" t="str">
        <f t="shared" si="10"/>
        <v>Max</v>
      </c>
      <c r="D89" s="178"/>
      <c r="E89" s="181"/>
      <c r="K89" s="129">
        <v>40.0</v>
      </c>
      <c r="L89" s="156" t="str">
        <f t="shared" si="12"/>
        <v>Shawnak</v>
      </c>
      <c r="M89" s="178"/>
      <c r="N89" s="181"/>
      <c r="T89" s="132"/>
      <c r="U89" s="7"/>
    </row>
    <row r="90">
      <c r="A90" s="170"/>
      <c r="B90" s="141"/>
      <c r="C90" s="141"/>
      <c r="D90" s="193"/>
      <c r="E90" s="194"/>
      <c r="F90" s="141"/>
      <c r="G90" s="141"/>
      <c r="H90" s="141"/>
      <c r="I90" s="141"/>
      <c r="J90" s="141"/>
      <c r="K90" s="138"/>
      <c r="L90" s="141"/>
      <c r="M90" s="193"/>
      <c r="N90" s="194"/>
      <c r="O90" s="141"/>
      <c r="P90" s="141"/>
      <c r="Q90" s="141"/>
      <c r="R90" s="141"/>
      <c r="S90" s="141"/>
      <c r="T90" s="143"/>
      <c r="U90" s="7"/>
    </row>
    <row r="9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8"/>
    </row>
  </sheetData>
  <dataValidations>
    <dataValidation type="list" allowBlank="1" showErrorMessage="1" sqref="B2">
      <formula1>"LIVE GAME,FINAL"</formula1>
    </dataValidation>
    <dataValidation type="list" allowBlank="1" showInputMessage="1" showErrorMessage="1" prompt="If this error appears, make sure player name matches that on &quot;Regular Season Stats&quot; tab." sqref="C3:C4 L3:L4">
      <formula1>Season_Stats[Shooter]</formula1>
    </dataValidation>
  </dataValidation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6" t="s">
        <v>206</v>
      </c>
      <c r="B1" s="136" t="s">
        <v>207</v>
      </c>
      <c r="C1" s="136" t="s">
        <v>176</v>
      </c>
      <c r="D1" s="136" t="s">
        <v>208</v>
      </c>
      <c r="E1" s="136" t="s">
        <v>67</v>
      </c>
      <c r="F1" s="136" t="s">
        <v>68</v>
      </c>
      <c r="G1" s="136" t="s">
        <v>69</v>
      </c>
      <c r="H1" s="136" t="s">
        <v>70</v>
      </c>
      <c r="I1" s="136" t="s">
        <v>72</v>
      </c>
    </row>
    <row r="2">
      <c r="A2" s="136" t="s">
        <v>209</v>
      </c>
      <c r="B2" s="136" t="s">
        <v>6</v>
      </c>
      <c r="C2" s="226">
        <v>0.0</v>
      </c>
      <c r="D2" s="226">
        <v>7.0</v>
      </c>
      <c r="E2" s="226">
        <v>0.0</v>
      </c>
      <c r="F2" s="226">
        <v>0.0</v>
      </c>
      <c r="G2" s="226">
        <v>1.0</v>
      </c>
      <c r="H2" s="226">
        <v>0.0</v>
      </c>
      <c r="I2" s="136">
        <v>0.0</v>
      </c>
    </row>
    <row r="3">
      <c r="A3" s="136" t="s">
        <v>209</v>
      </c>
      <c r="B3" s="136" t="s">
        <v>12</v>
      </c>
      <c r="C3" s="226">
        <v>0.0</v>
      </c>
      <c r="D3" s="226">
        <v>0.0</v>
      </c>
      <c r="E3" s="226">
        <v>0.0</v>
      </c>
      <c r="F3" s="226">
        <v>0.0</v>
      </c>
      <c r="G3" s="226">
        <v>2.0</v>
      </c>
      <c r="H3" s="226">
        <v>0.0</v>
      </c>
      <c r="I3" s="136">
        <v>0.0</v>
      </c>
    </row>
    <row r="4">
      <c r="A4" s="136" t="s">
        <v>210</v>
      </c>
      <c r="B4" s="136">
        <v>0.3333333333333333</v>
      </c>
      <c r="C4" s="226">
        <v>11.0</v>
      </c>
      <c r="D4" s="226">
        <v>22.0</v>
      </c>
      <c r="E4" s="226">
        <v>1.0</v>
      </c>
      <c r="F4" s="226">
        <v>2.0</v>
      </c>
      <c r="G4" s="226">
        <v>0.0</v>
      </c>
      <c r="H4" s="226">
        <v>0.0</v>
      </c>
      <c r="I4" s="136">
        <v>0.0</v>
      </c>
    </row>
    <row r="5">
      <c r="A5" s="136" t="s">
        <v>210</v>
      </c>
      <c r="B5" s="136">
        <v>0.3333333333333333</v>
      </c>
      <c r="C5" s="226">
        <v>12.0</v>
      </c>
      <c r="D5" s="226">
        <v>24.0</v>
      </c>
      <c r="E5" s="226">
        <v>1.0</v>
      </c>
      <c r="F5" s="226">
        <v>2.0</v>
      </c>
      <c r="G5" s="226">
        <v>0.0</v>
      </c>
      <c r="H5" s="226">
        <v>0.0</v>
      </c>
      <c r="I5" s="136">
        <v>0.0</v>
      </c>
    </row>
    <row r="6">
      <c r="A6" s="136" t="s">
        <v>211</v>
      </c>
      <c r="B6" s="136" t="s">
        <v>154</v>
      </c>
      <c r="C6" s="226">
        <v>0.0</v>
      </c>
      <c r="D6" s="226">
        <v>0.0</v>
      </c>
      <c r="E6" s="226">
        <v>0.0</v>
      </c>
      <c r="F6" s="226">
        <v>0.0</v>
      </c>
      <c r="G6" s="226">
        <v>0.0</v>
      </c>
      <c r="H6" s="226">
        <v>0.0</v>
      </c>
      <c r="I6" s="136">
        <v>0.0</v>
      </c>
    </row>
    <row r="7">
      <c r="A7" s="136" t="s">
        <v>211</v>
      </c>
      <c r="B7" s="136" t="s">
        <v>156</v>
      </c>
      <c r="C7" s="226">
        <v>0.0</v>
      </c>
      <c r="D7" s="226">
        <v>0.0</v>
      </c>
      <c r="E7" s="226">
        <v>0.0</v>
      </c>
      <c r="F7" s="226">
        <v>0.0</v>
      </c>
      <c r="G7" s="226">
        <v>0.0</v>
      </c>
      <c r="H7" s="226">
        <v>0.0</v>
      </c>
      <c r="I7" s="136">
        <v>0.0</v>
      </c>
    </row>
    <row r="8">
      <c r="A8" s="136" t="s">
        <v>212</v>
      </c>
      <c r="B8" s="136" t="s">
        <v>76</v>
      </c>
      <c r="C8" s="226">
        <v>16.0</v>
      </c>
      <c r="D8" s="226">
        <v>5.0</v>
      </c>
      <c r="E8" s="226">
        <v>1.0</v>
      </c>
      <c r="F8" s="226">
        <v>1.0</v>
      </c>
      <c r="G8" s="226">
        <v>0.0</v>
      </c>
      <c r="H8" s="226">
        <v>0.0</v>
      </c>
      <c r="I8" s="136">
        <v>0.0</v>
      </c>
    </row>
    <row r="9">
      <c r="A9" s="136" t="s">
        <v>212</v>
      </c>
      <c r="B9" s="136" t="s">
        <v>85</v>
      </c>
      <c r="C9" s="226">
        <v>17.0</v>
      </c>
      <c r="D9" s="226">
        <v>4.0</v>
      </c>
      <c r="E9" s="226">
        <v>3.0</v>
      </c>
      <c r="F9" s="226">
        <v>0.0</v>
      </c>
      <c r="G9" s="226">
        <v>0.0</v>
      </c>
      <c r="H9" s="226">
        <v>0.0</v>
      </c>
      <c r="I9" s="136">
        <v>0.0</v>
      </c>
    </row>
    <row r="10">
      <c r="A10" s="136" t="s">
        <v>212</v>
      </c>
      <c r="B10" s="136" t="s">
        <v>106</v>
      </c>
      <c r="C10" s="226">
        <v>14.0</v>
      </c>
      <c r="D10" s="226">
        <v>5.0</v>
      </c>
      <c r="E10" s="226">
        <v>0.0</v>
      </c>
      <c r="F10" s="226">
        <v>0.0</v>
      </c>
      <c r="G10" s="226">
        <v>0.0</v>
      </c>
      <c r="H10" s="226">
        <v>0.0</v>
      </c>
      <c r="I10" s="136">
        <v>0.0</v>
      </c>
    </row>
    <row r="11">
      <c r="A11" s="136" t="s">
        <v>212</v>
      </c>
      <c r="B11" s="136" t="s">
        <v>90</v>
      </c>
      <c r="C11" s="226">
        <v>14.0</v>
      </c>
      <c r="D11" s="226">
        <v>5.0</v>
      </c>
      <c r="E11" s="226">
        <v>0.0</v>
      </c>
      <c r="F11" s="226">
        <v>2.0</v>
      </c>
      <c r="G11" s="226">
        <v>0.0</v>
      </c>
      <c r="H11" s="226">
        <v>0.0</v>
      </c>
      <c r="I11" s="136">
        <v>0.0</v>
      </c>
    </row>
    <row r="12">
      <c r="A12" s="136" t="s">
        <v>213</v>
      </c>
      <c r="B12" s="136" t="s">
        <v>116</v>
      </c>
      <c r="C12" s="226">
        <v>16.0</v>
      </c>
      <c r="D12" s="226">
        <v>3.0</v>
      </c>
      <c r="E12" s="226">
        <v>0.0</v>
      </c>
      <c r="F12" s="226">
        <v>1.0</v>
      </c>
      <c r="G12" s="226">
        <v>1.0</v>
      </c>
      <c r="H12" s="226">
        <v>0.0</v>
      </c>
      <c r="I12" s="136">
        <v>0.0</v>
      </c>
    </row>
    <row r="13">
      <c r="A13" s="136" t="s">
        <v>213</v>
      </c>
      <c r="B13" s="136" t="s">
        <v>133</v>
      </c>
      <c r="C13" s="226">
        <v>17.0</v>
      </c>
      <c r="D13" s="226">
        <v>2.0</v>
      </c>
      <c r="E13" s="226">
        <v>1.0</v>
      </c>
      <c r="F13" s="226">
        <v>1.0</v>
      </c>
      <c r="G13" s="226">
        <v>0.0</v>
      </c>
      <c r="H13" s="226">
        <v>0.0</v>
      </c>
      <c r="I13" s="136">
        <v>0.0</v>
      </c>
    </row>
    <row r="14">
      <c r="A14" s="136" t="s">
        <v>213</v>
      </c>
      <c r="B14" s="136" t="s">
        <v>96</v>
      </c>
      <c r="C14" s="226">
        <v>13.0</v>
      </c>
      <c r="D14" s="226">
        <v>6.0</v>
      </c>
      <c r="E14" s="226">
        <v>0.0</v>
      </c>
      <c r="F14" s="226">
        <v>0.0</v>
      </c>
      <c r="G14" s="226">
        <v>0.0</v>
      </c>
      <c r="H14" s="226">
        <v>0.0</v>
      </c>
      <c r="I14" s="136">
        <v>0.0</v>
      </c>
    </row>
    <row r="15">
      <c r="A15" s="136" t="s">
        <v>213</v>
      </c>
      <c r="B15" s="136" t="s">
        <v>89</v>
      </c>
      <c r="C15" s="226">
        <v>14.0</v>
      </c>
      <c r="D15" s="226">
        <v>4.0</v>
      </c>
      <c r="E15" s="226">
        <v>0.0</v>
      </c>
      <c r="F15" s="226">
        <v>0.0</v>
      </c>
      <c r="G15" s="226">
        <v>0.0</v>
      </c>
      <c r="H15" s="226">
        <v>0.0</v>
      </c>
      <c r="I15" s="226">
        <v>0.0</v>
      </c>
    </row>
    <row r="16">
      <c r="A16" s="136" t="s">
        <v>214</v>
      </c>
      <c r="B16" s="136" t="s">
        <v>106</v>
      </c>
      <c r="C16" s="226">
        <v>15.0</v>
      </c>
      <c r="D16" s="226">
        <v>3.0</v>
      </c>
      <c r="E16" s="226">
        <v>2.0</v>
      </c>
      <c r="F16" s="226">
        <v>1.0</v>
      </c>
      <c r="G16" s="226">
        <v>0.0</v>
      </c>
      <c r="H16" s="226">
        <v>0.0</v>
      </c>
      <c r="I16" s="136">
        <v>0.0</v>
      </c>
    </row>
    <row r="17">
      <c r="A17" s="136" t="s">
        <v>214</v>
      </c>
      <c r="B17" s="136" t="s">
        <v>90</v>
      </c>
      <c r="C17" s="226">
        <v>11.0</v>
      </c>
      <c r="D17" s="226">
        <v>7.0</v>
      </c>
      <c r="E17" s="226">
        <v>2.0</v>
      </c>
      <c r="F17" s="226">
        <v>1.0</v>
      </c>
      <c r="G17" s="226">
        <v>0.0</v>
      </c>
      <c r="H17" s="226">
        <v>0.0</v>
      </c>
      <c r="I17" s="226">
        <v>0.0</v>
      </c>
    </row>
    <row r="18">
      <c r="A18" s="136" t="s">
        <v>214</v>
      </c>
      <c r="B18" s="136" t="s">
        <v>108</v>
      </c>
      <c r="C18" s="226">
        <v>15.0</v>
      </c>
      <c r="D18" s="226">
        <v>1.0</v>
      </c>
      <c r="E18" s="226">
        <v>0.0</v>
      </c>
      <c r="F18" s="226">
        <v>1.0</v>
      </c>
      <c r="G18" s="226">
        <v>0.0</v>
      </c>
      <c r="H18" s="226">
        <v>0.0</v>
      </c>
      <c r="I18" s="136">
        <v>0.0</v>
      </c>
    </row>
    <row r="19">
      <c r="A19" s="136" t="s">
        <v>214</v>
      </c>
      <c r="B19" s="136" t="s">
        <v>73</v>
      </c>
      <c r="C19" s="226">
        <v>11.0</v>
      </c>
      <c r="D19" s="226">
        <v>5.0</v>
      </c>
      <c r="E19" s="226">
        <v>1.0</v>
      </c>
      <c r="F19" s="226">
        <v>2.0</v>
      </c>
      <c r="G19" s="226">
        <v>1.0</v>
      </c>
      <c r="H19" s="226">
        <v>0.0</v>
      </c>
      <c r="I19" s="136">
        <v>0.0</v>
      </c>
    </row>
    <row r="20">
      <c r="A20" s="136" t="s">
        <v>215</v>
      </c>
      <c r="B20" s="136" t="s">
        <v>99</v>
      </c>
      <c r="C20" s="226">
        <v>11.0</v>
      </c>
      <c r="D20" s="226">
        <v>3.0</v>
      </c>
      <c r="E20" s="226">
        <v>0.0</v>
      </c>
      <c r="F20" s="226">
        <v>1.0</v>
      </c>
      <c r="G20" s="226">
        <v>0.0</v>
      </c>
      <c r="H20" s="226">
        <v>0.0</v>
      </c>
      <c r="I20" s="136">
        <v>0.0</v>
      </c>
    </row>
    <row r="21">
      <c r="A21" s="136" t="s">
        <v>215</v>
      </c>
      <c r="B21" s="136" t="s">
        <v>81</v>
      </c>
      <c r="C21" s="226">
        <v>10.0</v>
      </c>
      <c r="D21" s="226">
        <v>4.0</v>
      </c>
      <c r="E21" s="226">
        <v>1.0</v>
      </c>
      <c r="F21" s="226">
        <v>1.0</v>
      </c>
      <c r="G21" s="226">
        <v>1.0</v>
      </c>
      <c r="H21" s="226">
        <v>0.0</v>
      </c>
      <c r="I21" s="136">
        <v>0.0</v>
      </c>
    </row>
    <row r="22">
      <c r="A22" s="136" t="s">
        <v>215</v>
      </c>
      <c r="B22" s="136" t="s">
        <v>82</v>
      </c>
      <c r="C22" s="226">
        <v>12.0</v>
      </c>
      <c r="D22" s="226">
        <v>4.0</v>
      </c>
      <c r="E22" s="226">
        <v>0.0</v>
      </c>
      <c r="F22" s="226">
        <v>1.0</v>
      </c>
      <c r="G22" s="226">
        <v>0.0</v>
      </c>
      <c r="H22" s="226">
        <v>0.0</v>
      </c>
      <c r="I22" s="226">
        <v>0.0</v>
      </c>
    </row>
    <row r="23">
      <c r="A23" s="136" t="s">
        <v>215</v>
      </c>
      <c r="B23" s="136" t="s">
        <v>100</v>
      </c>
      <c r="C23" s="226">
        <v>12.0</v>
      </c>
      <c r="D23" s="226">
        <v>4.0</v>
      </c>
      <c r="E23" s="226">
        <v>0.0</v>
      </c>
      <c r="F23" s="226">
        <v>0.0</v>
      </c>
      <c r="G23" s="226">
        <v>0.0</v>
      </c>
      <c r="H23" s="226">
        <v>0.0</v>
      </c>
      <c r="I23" s="226">
        <v>0.0</v>
      </c>
    </row>
    <row r="24">
      <c r="A24" s="136" t="s">
        <v>216</v>
      </c>
      <c r="B24" s="136" t="s">
        <v>86</v>
      </c>
      <c r="C24" s="226">
        <v>11.0</v>
      </c>
      <c r="D24" s="226">
        <v>4.0</v>
      </c>
      <c r="E24" s="226">
        <v>1.0</v>
      </c>
      <c r="F24" s="226">
        <v>0.0</v>
      </c>
      <c r="G24" s="226">
        <v>0.0</v>
      </c>
      <c r="H24" s="226">
        <v>0.0</v>
      </c>
      <c r="I24" s="226">
        <v>0.0</v>
      </c>
    </row>
    <row r="25">
      <c r="A25" s="136" t="s">
        <v>216</v>
      </c>
      <c r="B25" s="136" t="s">
        <v>127</v>
      </c>
      <c r="C25" s="226">
        <v>11.0</v>
      </c>
      <c r="D25" s="226">
        <v>3.0</v>
      </c>
      <c r="E25" s="226">
        <v>0.0</v>
      </c>
      <c r="F25" s="226">
        <v>1.0</v>
      </c>
      <c r="G25" s="226">
        <v>0.0</v>
      </c>
      <c r="H25" s="226">
        <v>0.0</v>
      </c>
      <c r="I25" s="226">
        <v>0.0</v>
      </c>
    </row>
    <row r="26">
      <c r="A26" s="136" t="s">
        <v>216</v>
      </c>
      <c r="B26" s="136" t="s">
        <v>76</v>
      </c>
      <c r="C26" s="226">
        <v>6.0</v>
      </c>
      <c r="D26" s="226">
        <v>6.0</v>
      </c>
      <c r="E26" s="226">
        <v>0.0</v>
      </c>
      <c r="F26" s="226">
        <v>1.0</v>
      </c>
      <c r="G26" s="226">
        <v>0.0</v>
      </c>
      <c r="H26" s="226">
        <v>0.0</v>
      </c>
      <c r="I26" s="226">
        <v>0.0</v>
      </c>
    </row>
    <row r="27">
      <c r="A27" s="136" t="s">
        <v>216</v>
      </c>
      <c r="B27" s="136" t="s">
        <v>85</v>
      </c>
      <c r="C27" s="226">
        <v>8.0</v>
      </c>
      <c r="D27" s="226">
        <v>4.0</v>
      </c>
      <c r="E27" s="226">
        <v>0.0</v>
      </c>
      <c r="F27" s="226">
        <v>0.0</v>
      </c>
      <c r="G27" s="226">
        <v>0.0</v>
      </c>
      <c r="H27" s="226">
        <v>0.0</v>
      </c>
      <c r="I27" s="226">
        <v>0.0</v>
      </c>
    </row>
    <row r="28">
      <c r="A28" s="136" t="s">
        <v>217</v>
      </c>
      <c r="B28" s="136" t="s">
        <v>92</v>
      </c>
      <c r="C28" s="226">
        <v>23.0</v>
      </c>
      <c r="D28" s="226">
        <v>6.0</v>
      </c>
      <c r="E28" s="226">
        <v>1.0</v>
      </c>
      <c r="F28" s="226">
        <v>3.0</v>
      </c>
      <c r="G28" s="226">
        <v>0.0</v>
      </c>
      <c r="H28" s="226">
        <v>0.0</v>
      </c>
      <c r="I28" s="226">
        <v>0.0</v>
      </c>
    </row>
    <row r="29">
      <c r="A29" s="136" t="s">
        <v>217</v>
      </c>
      <c r="B29" s="136" t="s">
        <v>124</v>
      </c>
      <c r="C29" s="226">
        <v>26.0</v>
      </c>
      <c r="D29" s="226">
        <v>3.0</v>
      </c>
      <c r="E29" s="226">
        <v>1.0</v>
      </c>
      <c r="F29" s="226">
        <v>3.0</v>
      </c>
      <c r="G29" s="226">
        <v>0.0</v>
      </c>
      <c r="H29" s="226">
        <v>0.0</v>
      </c>
      <c r="I29" s="226">
        <v>0.0</v>
      </c>
    </row>
    <row r="30">
      <c r="A30" s="136" t="s">
        <v>217</v>
      </c>
      <c r="B30" s="136" t="s">
        <v>136</v>
      </c>
      <c r="C30" s="226">
        <v>25.0</v>
      </c>
      <c r="D30" s="226">
        <v>5.0</v>
      </c>
      <c r="E30" s="226">
        <v>2.0</v>
      </c>
      <c r="F30" s="226">
        <v>2.0</v>
      </c>
      <c r="G30" s="226">
        <v>0.0</v>
      </c>
      <c r="H30" s="226">
        <v>0.0</v>
      </c>
      <c r="I30" s="226">
        <v>0.0</v>
      </c>
    </row>
    <row r="31">
      <c r="A31" s="136" t="s">
        <v>217</v>
      </c>
      <c r="B31" s="136" t="s">
        <v>91</v>
      </c>
      <c r="C31" s="226">
        <v>25.0</v>
      </c>
      <c r="D31" s="226">
        <v>5.0</v>
      </c>
      <c r="E31" s="226">
        <v>8.0</v>
      </c>
      <c r="F31" s="226">
        <v>1.0</v>
      </c>
      <c r="G31" s="226">
        <v>0.0</v>
      </c>
      <c r="H31" s="226">
        <v>0.0</v>
      </c>
      <c r="I31" s="226">
        <v>0.0</v>
      </c>
    </row>
    <row r="32">
      <c r="A32" s="136" t="s">
        <v>218</v>
      </c>
      <c r="B32" s="136" t="s">
        <v>116</v>
      </c>
      <c r="C32" s="226">
        <v>22.0</v>
      </c>
      <c r="D32" s="226">
        <v>5.0</v>
      </c>
      <c r="E32" s="226">
        <v>2.0</v>
      </c>
      <c r="F32" s="226">
        <v>1.0</v>
      </c>
      <c r="G32" s="226">
        <v>1.0</v>
      </c>
      <c r="H32" s="226">
        <v>0.0</v>
      </c>
      <c r="I32" s="226">
        <v>0.0</v>
      </c>
    </row>
    <row r="33">
      <c r="A33" s="136" t="s">
        <v>218</v>
      </c>
      <c r="B33" s="136" t="s">
        <v>133</v>
      </c>
      <c r="C33" s="226">
        <v>24.0</v>
      </c>
      <c r="D33" s="226">
        <v>2.0</v>
      </c>
      <c r="E33" s="226">
        <v>0.0</v>
      </c>
      <c r="F33" s="226">
        <v>1.0</v>
      </c>
      <c r="G33" s="226">
        <v>0.0</v>
      </c>
      <c r="H33" s="226">
        <v>0.0</v>
      </c>
      <c r="I33" s="226">
        <v>0.0</v>
      </c>
    </row>
    <row r="34">
      <c r="A34" s="136" t="s">
        <v>218</v>
      </c>
      <c r="B34" s="136" t="s">
        <v>128</v>
      </c>
      <c r="C34" s="226">
        <v>23.0</v>
      </c>
      <c r="D34" s="226">
        <v>4.0</v>
      </c>
      <c r="E34" s="226">
        <v>0.0</v>
      </c>
      <c r="F34" s="226">
        <v>2.0</v>
      </c>
      <c r="G34" s="226">
        <v>0.0</v>
      </c>
      <c r="H34" s="226">
        <v>0.0</v>
      </c>
      <c r="I34" s="226">
        <v>0.0</v>
      </c>
    </row>
    <row r="35">
      <c r="A35" s="136" t="s">
        <v>218</v>
      </c>
      <c r="B35" s="136" t="s">
        <v>122</v>
      </c>
      <c r="C35" s="226">
        <v>23.0</v>
      </c>
      <c r="D35" s="226">
        <v>5.0</v>
      </c>
      <c r="E35" s="226">
        <v>0.0</v>
      </c>
      <c r="F35" s="226">
        <v>1.0</v>
      </c>
      <c r="G35" s="226">
        <v>0.0</v>
      </c>
      <c r="H35" s="226">
        <v>0.0</v>
      </c>
      <c r="I35" s="226">
        <v>0.0</v>
      </c>
    </row>
    <row r="36">
      <c r="A36" s="136" t="s">
        <v>219</v>
      </c>
      <c r="B36" s="136" t="s">
        <v>96</v>
      </c>
      <c r="C36" s="226">
        <v>11.0</v>
      </c>
      <c r="D36" s="226">
        <v>6.0</v>
      </c>
      <c r="E36" s="226">
        <v>1.0</v>
      </c>
      <c r="F36" s="226">
        <v>0.0</v>
      </c>
      <c r="G36" s="226">
        <v>0.0</v>
      </c>
      <c r="H36" s="226">
        <v>0.0</v>
      </c>
      <c r="I36" s="226">
        <v>0.0</v>
      </c>
    </row>
    <row r="37">
      <c r="A37" s="136" t="s">
        <v>219</v>
      </c>
      <c r="B37" s="136" t="s">
        <v>89</v>
      </c>
      <c r="C37" s="226">
        <v>12.0</v>
      </c>
      <c r="D37" s="226">
        <v>4.0</v>
      </c>
      <c r="E37" s="226">
        <v>2.0</v>
      </c>
      <c r="F37" s="226">
        <v>1.0</v>
      </c>
      <c r="G37" s="226">
        <v>0.0</v>
      </c>
      <c r="H37" s="226">
        <v>0.0</v>
      </c>
      <c r="I37" s="226">
        <v>0.0</v>
      </c>
    </row>
    <row r="38">
      <c r="A38" s="136" t="s">
        <v>219</v>
      </c>
      <c r="B38" s="136" t="s">
        <v>84</v>
      </c>
      <c r="C38" s="226">
        <v>14.0</v>
      </c>
      <c r="D38" s="226">
        <v>3.0</v>
      </c>
      <c r="E38" s="226">
        <v>1.0</v>
      </c>
      <c r="F38" s="226">
        <v>3.0</v>
      </c>
      <c r="G38" s="226">
        <v>0.0</v>
      </c>
      <c r="H38" s="226">
        <v>0.0</v>
      </c>
      <c r="I38" s="136">
        <v>0.0</v>
      </c>
    </row>
    <row r="39">
      <c r="A39" s="136" t="s">
        <v>219</v>
      </c>
      <c r="B39" s="136" t="s">
        <v>121</v>
      </c>
      <c r="C39" s="226">
        <v>12.0</v>
      </c>
      <c r="D39" s="226">
        <v>5.0</v>
      </c>
      <c r="E39" s="226">
        <v>2.0</v>
      </c>
      <c r="F39" s="226">
        <v>0.0</v>
      </c>
      <c r="G39" s="226">
        <v>0.0</v>
      </c>
      <c r="H39" s="226">
        <v>0.0</v>
      </c>
      <c r="I39" s="226">
        <v>0.0</v>
      </c>
    </row>
    <row r="40">
      <c r="A40" s="136" t="s">
        <v>220</v>
      </c>
      <c r="B40" s="136" t="s">
        <v>110</v>
      </c>
      <c r="C40" s="226">
        <v>13.0</v>
      </c>
      <c r="D40" s="226">
        <v>3.0</v>
      </c>
      <c r="E40" s="226">
        <v>0.0</v>
      </c>
      <c r="F40" s="226">
        <v>0.0</v>
      </c>
      <c r="G40" s="226">
        <v>0.0</v>
      </c>
      <c r="H40" s="226">
        <v>0.0</v>
      </c>
      <c r="I40" s="226">
        <v>0.0</v>
      </c>
    </row>
    <row r="41">
      <c r="A41" s="136" t="s">
        <v>220</v>
      </c>
      <c r="B41" s="136" t="s">
        <v>83</v>
      </c>
      <c r="C41" s="226">
        <v>12.0</v>
      </c>
      <c r="D41" s="226">
        <v>5.0</v>
      </c>
      <c r="E41" s="226">
        <v>0.0</v>
      </c>
      <c r="F41" s="226">
        <v>1.0</v>
      </c>
      <c r="G41" s="226">
        <v>0.0</v>
      </c>
      <c r="H41" s="226">
        <v>0.0</v>
      </c>
      <c r="I41" s="226">
        <v>0.0</v>
      </c>
    </row>
    <row r="42">
      <c r="A42" s="136" t="s">
        <v>220</v>
      </c>
      <c r="B42" s="136" t="s">
        <v>81</v>
      </c>
      <c r="C42" s="226">
        <v>12.0</v>
      </c>
      <c r="D42" s="226">
        <v>4.0</v>
      </c>
      <c r="E42" s="226">
        <v>0.0</v>
      </c>
      <c r="F42" s="226">
        <v>1.0</v>
      </c>
      <c r="G42" s="226">
        <v>0.0</v>
      </c>
      <c r="H42" s="226">
        <v>0.0</v>
      </c>
      <c r="I42" s="226">
        <v>0.0</v>
      </c>
    </row>
    <row r="43">
      <c r="A43" s="136" t="s">
        <v>220</v>
      </c>
      <c r="B43" s="136" t="s">
        <v>99</v>
      </c>
      <c r="C43" s="226">
        <v>9.0</v>
      </c>
      <c r="D43" s="226">
        <v>6.0</v>
      </c>
      <c r="E43" s="226">
        <v>2.0</v>
      </c>
      <c r="F43" s="226">
        <v>0.0</v>
      </c>
      <c r="G43" s="226">
        <v>0.0</v>
      </c>
      <c r="H43" s="226">
        <v>0.0</v>
      </c>
      <c r="I43" s="226">
        <v>0.0</v>
      </c>
    </row>
    <row r="44">
      <c r="A44" s="136" t="s">
        <v>221</v>
      </c>
      <c r="B44" s="136" t="s">
        <v>95</v>
      </c>
      <c r="C44" s="226">
        <v>15.0</v>
      </c>
      <c r="D44" s="226">
        <v>3.0</v>
      </c>
      <c r="E44" s="226">
        <v>0.0</v>
      </c>
      <c r="F44" s="226">
        <v>0.0</v>
      </c>
      <c r="G44" s="226">
        <v>0.0</v>
      </c>
      <c r="H44" s="226">
        <v>0.0</v>
      </c>
      <c r="I44" s="226">
        <v>0.0</v>
      </c>
    </row>
    <row r="45">
      <c r="A45" s="136" t="s">
        <v>221</v>
      </c>
      <c r="B45" s="136" t="s">
        <v>74</v>
      </c>
      <c r="C45" s="226">
        <v>13.0</v>
      </c>
      <c r="D45" s="226">
        <v>5.0</v>
      </c>
      <c r="E45" s="226">
        <v>1.0</v>
      </c>
      <c r="F45" s="226">
        <v>0.0</v>
      </c>
      <c r="G45" s="226">
        <v>0.0</v>
      </c>
      <c r="H45" s="226">
        <v>0.0</v>
      </c>
      <c r="I45" s="226">
        <v>0.0</v>
      </c>
    </row>
    <row r="46">
      <c r="A46" s="136" t="s">
        <v>221</v>
      </c>
      <c r="B46" s="136" t="s">
        <v>112</v>
      </c>
      <c r="C46" s="226">
        <v>13.0</v>
      </c>
      <c r="D46" s="226">
        <v>5.0</v>
      </c>
      <c r="E46" s="226">
        <v>0.0</v>
      </c>
      <c r="F46" s="226">
        <v>1.0</v>
      </c>
      <c r="G46" s="226">
        <v>0.0</v>
      </c>
      <c r="H46" s="226">
        <v>0.0</v>
      </c>
      <c r="I46" s="226">
        <v>0.0</v>
      </c>
    </row>
    <row r="47">
      <c r="A47" s="136" t="s">
        <v>221</v>
      </c>
      <c r="B47" s="136" t="s">
        <v>94</v>
      </c>
      <c r="C47" s="226">
        <v>13.0</v>
      </c>
      <c r="D47" s="226">
        <v>5.0</v>
      </c>
      <c r="E47" s="226">
        <v>1.0</v>
      </c>
      <c r="F47" s="226">
        <v>0.0</v>
      </c>
      <c r="G47" s="226">
        <v>0.0</v>
      </c>
      <c r="H47" s="226">
        <v>0.0</v>
      </c>
      <c r="I47" s="226">
        <v>0.0</v>
      </c>
    </row>
    <row r="48">
      <c r="A48" s="136" t="s">
        <v>222</v>
      </c>
      <c r="B48" s="136" t="s">
        <v>100</v>
      </c>
      <c r="C48" s="226">
        <v>17.0</v>
      </c>
      <c r="D48" s="226">
        <v>4.0</v>
      </c>
      <c r="E48" s="226">
        <v>2.0</v>
      </c>
      <c r="F48" s="226">
        <v>1.0</v>
      </c>
      <c r="G48" s="226">
        <v>0.0</v>
      </c>
      <c r="H48" s="226">
        <v>0.0</v>
      </c>
      <c r="I48" s="226">
        <v>0.0</v>
      </c>
    </row>
    <row r="49">
      <c r="A49" s="136" t="s">
        <v>222</v>
      </c>
      <c r="B49" s="136" t="s">
        <v>82</v>
      </c>
      <c r="C49" s="226">
        <v>15.0</v>
      </c>
      <c r="D49" s="226">
        <v>6.0</v>
      </c>
      <c r="E49" s="226">
        <v>2.0</v>
      </c>
      <c r="F49" s="226">
        <v>0.0</v>
      </c>
      <c r="G49" s="226">
        <v>0.0</v>
      </c>
      <c r="H49" s="226">
        <v>0.0</v>
      </c>
      <c r="I49" s="226">
        <v>0.0</v>
      </c>
    </row>
    <row r="50">
      <c r="A50" s="136" t="s">
        <v>222</v>
      </c>
      <c r="B50" s="136" t="s">
        <v>129</v>
      </c>
      <c r="C50" s="226">
        <v>20.0</v>
      </c>
      <c r="D50" s="226">
        <v>1.0</v>
      </c>
      <c r="E50" s="226">
        <v>0.0</v>
      </c>
      <c r="F50" s="226">
        <v>2.0</v>
      </c>
      <c r="G50" s="226">
        <v>0.0</v>
      </c>
      <c r="H50" s="226">
        <v>0.0</v>
      </c>
      <c r="I50" s="226">
        <v>0.0</v>
      </c>
    </row>
    <row r="51">
      <c r="A51" s="136" t="s">
        <v>222</v>
      </c>
      <c r="B51" s="136" t="s">
        <v>130</v>
      </c>
      <c r="C51" s="226">
        <v>17.0</v>
      </c>
      <c r="D51" s="226">
        <v>4.0</v>
      </c>
      <c r="E51" s="226">
        <v>1.0</v>
      </c>
      <c r="F51" s="226">
        <v>0.0</v>
      </c>
      <c r="G51" s="226">
        <v>0.0</v>
      </c>
      <c r="H51" s="226">
        <v>0.0</v>
      </c>
      <c r="I51" s="226">
        <v>0.0</v>
      </c>
    </row>
    <row r="52">
      <c r="A52" s="136" t="s">
        <v>223</v>
      </c>
      <c r="B52" s="136" t="s">
        <v>110</v>
      </c>
      <c r="C52" s="226">
        <v>9.0</v>
      </c>
      <c r="D52" s="226">
        <v>5.0</v>
      </c>
      <c r="E52" s="226">
        <v>1.0</v>
      </c>
      <c r="F52" s="226">
        <v>0.0</v>
      </c>
      <c r="G52" s="226">
        <v>0.0</v>
      </c>
      <c r="H52" s="226">
        <v>0.0</v>
      </c>
      <c r="I52" s="226">
        <v>0.0</v>
      </c>
    </row>
    <row r="53">
      <c r="A53" s="136" t="s">
        <v>223</v>
      </c>
      <c r="B53" s="136" t="s">
        <v>83</v>
      </c>
      <c r="C53" s="226">
        <v>11.0</v>
      </c>
      <c r="D53" s="226">
        <v>2.0</v>
      </c>
      <c r="E53" s="226">
        <v>2.0</v>
      </c>
      <c r="F53" s="226">
        <v>0.0</v>
      </c>
      <c r="G53" s="226">
        <v>0.0</v>
      </c>
      <c r="H53" s="226">
        <v>0.0</v>
      </c>
      <c r="I53" s="226">
        <v>0.0</v>
      </c>
    </row>
    <row r="54">
      <c r="A54" s="136" t="s">
        <v>223</v>
      </c>
      <c r="B54" s="136" t="s">
        <v>106</v>
      </c>
      <c r="C54" s="226">
        <v>7.0</v>
      </c>
      <c r="D54" s="226">
        <v>6.0</v>
      </c>
      <c r="E54" s="226">
        <v>0.0</v>
      </c>
      <c r="F54" s="226">
        <v>0.0</v>
      </c>
      <c r="G54" s="226">
        <v>0.0</v>
      </c>
      <c r="H54" s="226">
        <v>0.0</v>
      </c>
      <c r="I54" s="226">
        <v>0.0</v>
      </c>
    </row>
    <row r="55">
      <c r="A55" s="136" t="s">
        <v>223</v>
      </c>
      <c r="B55" s="136" t="s">
        <v>90</v>
      </c>
      <c r="C55" s="226">
        <v>9.0</v>
      </c>
      <c r="D55" s="226">
        <v>4.0</v>
      </c>
      <c r="E55" s="226">
        <v>0.0</v>
      </c>
      <c r="F55" s="226">
        <v>0.0</v>
      </c>
      <c r="G55" s="226">
        <v>0.0</v>
      </c>
      <c r="H55" s="226">
        <v>0.0</v>
      </c>
      <c r="I55" s="226">
        <v>0.0</v>
      </c>
    </row>
    <row r="56">
      <c r="A56" s="136" t="s">
        <v>224</v>
      </c>
      <c r="B56" s="136" t="s">
        <v>131</v>
      </c>
      <c r="C56" s="226">
        <v>13.0</v>
      </c>
      <c r="D56" s="226">
        <v>4.0</v>
      </c>
      <c r="E56" s="226">
        <v>1.0</v>
      </c>
      <c r="F56" s="226">
        <v>1.0</v>
      </c>
      <c r="G56" s="226">
        <v>0.0</v>
      </c>
      <c r="H56" s="226">
        <v>0.0</v>
      </c>
      <c r="I56" s="226">
        <v>0.0</v>
      </c>
    </row>
    <row r="57">
      <c r="A57" s="136" t="s">
        <v>224</v>
      </c>
      <c r="B57" s="136" t="s">
        <v>132</v>
      </c>
      <c r="C57" s="226">
        <v>14.0</v>
      </c>
      <c r="D57" s="226">
        <v>3.0</v>
      </c>
      <c r="E57" s="226">
        <v>1.0</v>
      </c>
      <c r="F57" s="226">
        <v>2.0</v>
      </c>
      <c r="G57" s="226">
        <v>0.0</v>
      </c>
      <c r="H57" s="226">
        <v>0.0</v>
      </c>
      <c r="I57" s="226">
        <v>0.0</v>
      </c>
    </row>
    <row r="58">
      <c r="A58" s="136" t="s">
        <v>224</v>
      </c>
      <c r="B58" s="136" t="s">
        <v>112</v>
      </c>
      <c r="C58" s="226">
        <v>14.0</v>
      </c>
      <c r="D58" s="226">
        <v>2.0</v>
      </c>
      <c r="E58" s="226">
        <v>0.0</v>
      </c>
      <c r="F58" s="226">
        <v>2.0</v>
      </c>
      <c r="G58" s="226">
        <v>0.0</v>
      </c>
      <c r="H58" s="226">
        <v>0.0</v>
      </c>
      <c r="I58" s="226">
        <v>0.0</v>
      </c>
    </row>
    <row r="59">
      <c r="A59" s="136" t="s">
        <v>224</v>
      </c>
      <c r="B59" s="136" t="s">
        <v>94</v>
      </c>
      <c r="C59" s="226">
        <v>7.0</v>
      </c>
      <c r="D59" s="226">
        <v>8.0</v>
      </c>
      <c r="E59" s="226">
        <v>0.0</v>
      </c>
      <c r="F59" s="226">
        <v>0.0</v>
      </c>
      <c r="G59" s="226">
        <v>0.0</v>
      </c>
      <c r="H59" s="226">
        <v>0.0</v>
      </c>
      <c r="I59" s="226">
        <v>0.0</v>
      </c>
    </row>
    <row r="60">
      <c r="A60" s="136" t="s">
        <v>225</v>
      </c>
      <c r="B60" s="136" t="s">
        <v>76</v>
      </c>
      <c r="C60" s="226">
        <v>9.0</v>
      </c>
      <c r="D60" s="226">
        <v>5.0</v>
      </c>
      <c r="E60" s="226">
        <v>1.0</v>
      </c>
      <c r="F60" s="226">
        <v>0.0</v>
      </c>
      <c r="G60" s="226">
        <v>0.0</v>
      </c>
      <c r="H60" s="226">
        <v>0.0</v>
      </c>
      <c r="I60" s="226">
        <v>0.0</v>
      </c>
    </row>
    <row r="61">
      <c r="A61" s="136" t="s">
        <v>225</v>
      </c>
      <c r="B61" s="136" t="s">
        <v>85</v>
      </c>
      <c r="C61" s="226">
        <v>9.0</v>
      </c>
      <c r="D61" s="226">
        <v>5.0</v>
      </c>
      <c r="E61" s="226">
        <v>1.0</v>
      </c>
      <c r="F61" s="226">
        <v>0.0</v>
      </c>
      <c r="G61" s="226">
        <v>0.0</v>
      </c>
      <c r="H61" s="226">
        <v>0.0</v>
      </c>
      <c r="I61" s="226">
        <v>0.0</v>
      </c>
    </row>
    <row r="62">
      <c r="A62" s="136" t="s">
        <v>225</v>
      </c>
      <c r="B62" s="136" t="s">
        <v>95</v>
      </c>
      <c r="C62" s="226">
        <v>10.0</v>
      </c>
      <c r="D62" s="226">
        <v>4.0</v>
      </c>
      <c r="E62" s="226">
        <v>1.0</v>
      </c>
      <c r="F62" s="226">
        <v>1.0</v>
      </c>
      <c r="G62" s="226">
        <v>0.0</v>
      </c>
      <c r="H62" s="226">
        <v>0.0</v>
      </c>
      <c r="I62" s="226">
        <v>0.0</v>
      </c>
    </row>
    <row r="63">
      <c r="A63" s="136" t="s">
        <v>225</v>
      </c>
      <c r="B63" s="136" t="s">
        <v>74</v>
      </c>
      <c r="C63" s="226">
        <v>9.0</v>
      </c>
      <c r="D63" s="226">
        <v>5.0</v>
      </c>
      <c r="E63" s="226">
        <v>0.0</v>
      </c>
      <c r="F63" s="226">
        <v>0.0</v>
      </c>
      <c r="G63" s="226">
        <v>0.0</v>
      </c>
      <c r="H63" s="226">
        <v>0.0</v>
      </c>
      <c r="I63" s="226">
        <v>0.0</v>
      </c>
    </row>
    <row r="64">
      <c r="A64" s="136" t="s">
        <v>226</v>
      </c>
      <c r="B64" s="136" t="s">
        <v>78</v>
      </c>
      <c r="C64" s="226">
        <v>8.0</v>
      </c>
      <c r="D64" s="226">
        <v>4.0</v>
      </c>
      <c r="E64" s="226">
        <v>0.0</v>
      </c>
      <c r="F64" s="226">
        <v>0.0</v>
      </c>
      <c r="G64" s="226">
        <v>0.0</v>
      </c>
      <c r="H64" s="226">
        <v>0.0</v>
      </c>
      <c r="I64" s="226">
        <v>0.0</v>
      </c>
    </row>
    <row r="65">
      <c r="A65" s="136" t="s">
        <v>226</v>
      </c>
      <c r="B65" s="136" t="s">
        <v>88</v>
      </c>
      <c r="C65" s="226">
        <v>5.0</v>
      </c>
      <c r="D65" s="226">
        <v>3.0</v>
      </c>
      <c r="E65" s="226">
        <v>1.0</v>
      </c>
      <c r="F65" s="226">
        <v>1.0</v>
      </c>
      <c r="G65" s="226">
        <v>0.0</v>
      </c>
      <c r="H65" s="226">
        <v>0.0</v>
      </c>
      <c r="I65" s="226">
        <v>1.0</v>
      </c>
    </row>
    <row r="66">
      <c r="A66" s="136" t="s">
        <v>226</v>
      </c>
      <c r="B66" s="136" t="s">
        <v>85</v>
      </c>
      <c r="C66" s="226">
        <v>5.0</v>
      </c>
      <c r="D66" s="226">
        <v>4.0</v>
      </c>
      <c r="E66" s="226">
        <v>0.0</v>
      </c>
      <c r="F66" s="226">
        <v>1.0</v>
      </c>
      <c r="G66" s="226">
        <v>0.0</v>
      </c>
      <c r="H66" s="226">
        <v>0.0</v>
      </c>
      <c r="I66" s="226">
        <v>0.0</v>
      </c>
    </row>
    <row r="67">
      <c r="A67" s="136" t="s">
        <v>226</v>
      </c>
      <c r="B67" s="136" t="s">
        <v>76</v>
      </c>
      <c r="C67" s="226">
        <v>6.0</v>
      </c>
      <c r="D67" s="226">
        <v>3.0</v>
      </c>
      <c r="E67" s="226">
        <v>1.0</v>
      </c>
      <c r="F67" s="226">
        <v>0.0</v>
      </c>
      <c r="G67" s="226">
        <v>1.0</v>
      </c>
      <c r="H67" s="226">
        <v>0.0</v>
      </c>
      <c r="I67" s="226">
        <v>0.0</v>
      </c>
    </row>
    <row r="68">
      <c r="A68" s="136" t="s">
        <v>227</v>
      </c>
      <c r="B68" s="136" t="s">
        <v>77</v>
      </c>
      <c r="C68" s="226">
        <v>12.0</v>
      </c>
      <c r="D68" s="226">
        <v>5.0</v>
      </c>
      <c r="E68" s="226">
        <v>1.0</v>
      </c>
      <c r="F68" s="226">
        <v>1.0</v>
      </c>
      <c r="G68" s="226">
        <v>0.0</v>
      </c>
      <c r="H68" s="226">
        <v>0.0</v>
      </c>
      <c r="I68" s="226">
        <v>0.0</v>
      </c>
    </row>
    <row r="69">
      <c r="A69" s="136" t="s">
        <v>227</v>
      </c>
      <c r="B69" s="136" t="s">
        <v>101</v>
      </c>
      <c r="C69" s="226">
        <v>16.0</v>
      </c>
      <c r="D69" s="226">
        <v>3.0</v>
      </c>
      <c r="E69" s="226">
        <v>2.0</v>
      </c>
      <c r="F69" s="226">
        <v>0.0</v>
      </c>
      <c r="G69" s="226">
        <v>0.0</v>
      </c>
      <c r="H69" s="226">
        <v>0.0</v>
      </c>
      <c r="I69" s="226">
        <v>0.0</v>
      </c>
    </row>
    <row r="70">
      <c r="A70" s="136" t="s">
        <v>227</v>
      </c>
      <c r="B70" s="136" t="s">
        <v>125</v>
      </c>
      <c r="C70" s="226">
        <v>14.0</v>
      </c>
      <c r="D70" s="226">
        <v>3.0</v>
      </c>
      <c r="E70" s="226">
        <v>1.0</v>
      </c>
      <c r="F70" s="226">
        <v>1.0</v>
      </c>
      <c r="G70" s="226">
        <v>0.0</v>
      </c>
      <c r="H70" s="226">
        <v>0.0</v>
      </c>
      <c r="I70" s="226">
        <v>0.0</v>
      </c>
    </row>
    <row r="71">
      <c r="A71" s="136" t="s">
        <v>227</v>
      </c>
      <c r="B71" s="136" t="s">
        <v>93</v>
      </c>
      <c r="C71" s="226">
        <v>10.0</v>
      </c>
      <c r="D71" s="226">
        <v>7.0</v>
      </c>
      <c r="E71" s="226">
        <v>1.0</v>
      </c>
      <c r="F71" s="226">
        <v>1.0</v>
      </c>
      <c r="G71" s="226">
        <v>0.0</v>
      </c>
      <c r="H71" s="226">
        <v>0.0</v>
      </c>
      <c r="I71" s="226">
        <v>0.0</v>
      </c>
    </row>
    <row r="72">
      <c r="A72" s="136" t="s">
        <v>228</v>
      </c>
      <c r="B72" s="136" t="s">
        <v>112</v>
      </c>
      <c r="C72" s="226">
        <v>22.0</v>
      </c>
      <c r="D72" s="226">
        <v>7.0</v>
      </c>
      <c r="E72" s="226">
        <v>0.0</v>
      </c>
      <c r="F72" s="226">
        <v>0.0</v>
      </c>
      <c r="G72" s="226">
        <v>0.0</v>
      </c>
      <c r="H72" s="226">
        <v>0.0</v>
      </c>
      <c r="I72" s="226">
        <v>0.0</v>
      </c>
    </row>
    <row r="73">
      <c r="A73" s="136" t="s">
        <v>228</v>
      </c>
      <c r="B73" s="136" t="s">
        <v>94</v>
      </c>
      <c r="C73" s="226">
        <v>27.0</v>
      </c>
      <c r="D73" s="226">
        <v>2.0</v>
      </c>
      <c r="E73" s="226">
        <v>0.0</v>
      </c>
      <c r="F73" s="226">
        <v>0.0</v>
      </c>
      <c r="G73" s="226">
        <v>0.0</v>
      </c>
      <c r="H73" s="226">
        <v>0.0</v>
      </c>
      <c r="I73" s="226">
        <v>0.0</v>
      </c>
    </row>
    <row r="74">
      <c r="A74" s="136" t="s">
        <v>228</v>
      </c>
      <c r="B74" s="136" t="s">
        <v>129</v>
      </c>
      <c r="C74" s="226">
        <v>23.0</v>
      </c>
      <c r="D74" s="226">
        <v>6.0</v>
      </c>
      <c r="E74" s="226">
        <v>0.0</v>
      </c>
      <c r="F74" s="226">
        <v>0.0</v>
      </c>
      <c r="G74" s="226">
        <v>0.0</v>
      </c>
      <c r="H74" s="226">
        <v>0.0</v>
      </c>
      <c r="I74" s="226">
        <v>0.0</v>
      </c>
    </row>
    <row r="75">
      <c r="A75" s="136" t="s">
        <v>228</v>
      </c>
      <c r="B75" s="136" t="s">
        <v>130</v>
      </c>
      <c r="C75" s="226">
        <v>24.0</v>
      </c>
      <c r="D75" s="226">
        <v>4.0</v>
      </c>
      <c r="E75" s="226">
        <v>0.0</v>
      </c>
      <c r="F75" s="226">
        <v>0.0</v>
      </c>
      <c r="G75" s="226">
        <v>0.0</v>
      </c>
      <c r="H75" s="226">
        <v>0.0</v>
      </c>
      <c r="I75" s="226">
        <v>0.0</v>
      </c>
    </row>
    <row r="76">
      <c r="A76" s="136" t="s">
        <v>229</v>
      </c>
      <c r="B76" s="136" t="s">
        <v>123</v>
      </c>
      <c r="C76" s="226">
        <v>21.0</v>
      </c>
      <c r="D76" s="226">
        <v>6.0</v>
      </c>
      <c r="E76" s="226">
        <v>2.0</v>
      </c>
      <c r="F76" s="226">
        <v>3.0</v>
      </c>
      <c r="G76" s="226">
        <v>0.0</v>
      </c>
      <c r="H76" s="226">
        <v>0.0</v>
      </c>
      <c r="I76" s="226">
        <v>0.0</v>
      </c>
    </row>
    <row r="77">
      <c r="A77" s="136" t="s">
        <v>229</v>
      </c>
      <c r="B77" s="136" t="s">
        <v>111</v>
      </c>
      <c r="C77" s="226">
        <v>20.0</v>
      </c>
      <c r="D77" s="226">
        <v>6.0</v>
      </c>
      <c r="E77" s="226">
        <v>2.0</v>
      </c>
      <c r="F77" s="226">
        <v>1.0</v>
      </c>
      <c r="G77" s="226">
        <v>0.0</v>
      </c>
      <c r="H77" s="226">
        <v>0.0</v>
      </c>
      <c r="I77" s="226">
        <v>0.0</v>
      </c>
    </row>
    <row r="78">
      <c r="A78" s="136" t="s">
        <v>229</v>
      </c>
      <c r="B78" s="136" t="s">
        <v>82</v>
      </c>
      <c r="C78" s="226">
        <v>20.0</v>
      </c>
      <c r="D78" s="226">
        <v>9.0</v>
      </c>
      <c r="E78" s="226">
        <v>0.0</v>
      </c>
      <c r="F78" s="226">
        <v>2.0</v>
      </c>
      <c r="G78" s="226">
        <v>0.0</v>
      </c>
      <c r="H78" s="226">
        <v>0.0</v>
      </c>
      <c r="I78" s="226">
        <v>0.0</v>
      </c>
    </row>
    <row r="79">
      <c r="A79" s="136" t="s">
        <v>229</v>
      </c>
      <c r="B79" s="136" t="s">
        <v>100</v>
      </c>
      <c r="C79" s="226">
        <v>22.0</v>
      </c>
      <c r="D79" s="226">
        <v>6.0</v>
      </c>
      <c r="E79" s="226">
        <v>4.0</v>
      </c>
      <c r="F79" s="226">
        <v>0.0</v>
      </c>
      <c r="G79" s="226">
        <v>0.0</v>
      </c>
      <c r="H79" s="226">
        <v>0.0</v>
      </c>
      <c r="I79" s="226">
        <v>0.0</v>
      </c>
    </row>
    <row r="80">
      <c r="A80" s="136" t="s">
        <v>230</v>
      </c>
      <c r="B80" s="136" t="s">
        <v>84</v>
      </c>
      <c r="C80" s="226">
        <v>8.0</v>
      </c>
      <c r="D80" s="226">
        <v>8.0</v>
      </c>
      <c r="E80" s="226">
        <v>2.0</v>
      </c>
      <c r="F80" s="226">
        <v>1.0</v>
      </c>
      <c r="G80" s="226">
        <v>0.0</v>
      </c>
      <c r="H80" s="226">
        <v>0.0</v>
      </c>
      <c r="I80" s="226">
        <v>0.0</v>
      </c>
    </row>
    <row r="81">
      <c r="A81" s="136" t="s">
        <v>230</v>
      </c>
      <c r="B81" s="136" t="s">
        <v>121</v>
      </c>
      <c r="C81" s="226">
        <v>14.0</v>
      </c>
      <c r="D81" s="226">
        <v>2.0</v>
      </c>
      <c r="E81" s="226">
        <v>1.0</v>
      </c>
      <c r="F81" s="226">
        <v>1.0</v>
      </c>
      <c r="G81" s="226">
        <v>0.0</v>
      </c>
      <c r="H81" s="226">
        <v>0.0</v>
      </c>
      <c r="I81" s="226">
        <v>0.0</v>
      </c>
    </row>
    <row r="82">
      <c r="A82" s="136" t="s">
        <v>230</v>
      </c>
      <c r="B82" s="136" t="s">
        <v>137</v>
      </c>
      <c r="C82" s="226">
        <v>17.0</v>
      </c>
      <c r="D82" s="226">
        <v>2.0</v>
      </c>
      <c r="E82" s="226">
        <v>0.0</v>
      </c>
      <c r="F82" s="226">
        <v>2.0</v>
      </c>
      <c r="G82" s="226">
        <v>0.0</v>
      </c>
      <c r="H82" s="226">
        <v>0.0</v>
      </c>
      <c r="I82" s="226">
        <v>0.0</v>
      </c>
    </row>
    <row r="83">
      <c r="A83" s="136" t="s">
        <v>230</v>
      </c>
      <c r="B83" s="136" t="s">
        <v>75</v>
      </c>
      <c r="C83" s="226">
        <v>12.0</v>
      </c>
      <c r="D83" s="226">
        <v>7.0</v>
      </c>
      <c r="E83" s="226">
        <v>1.0</v>
      </c>
      <c r="F83" s="226">
        <v>2.0</v>
      </c>
      <c r="G83" s="226">
        <v>0.0</v>
      </c>
      <c r="H83" s="226">
        <v>0.0</v>
      </c>
      <c r="I83" s="226">
        <v>0.0</v>
      </c>
    </row>
    <row r="84">
      <c r="A84" s="136" t="s">
        <v>231</v>
      </c>
      <c r="B84" s="136" t="s">
        <v>134</v>
      </c>
      <c r="C84" s="226">
        <v>15.0</v>
      </c>
      <c r="D84" s="226">
        <v>4.0</v>
      </c>
      <c r="E84" s="226">
        <v>1.0</v>
      </c>
      <c r="F84" s="226">
        <v>3.0</v>
      </c>
      <c r="G84" s="226">
        <v>0.0</v>
      </c>
      <c r="H84" s="226">
        <v>0.0</v>
      </c>
      <c r="I84" s="226">
        <v>0.0</v>
      </c>
    </row>
    <row r="85">
      <c r="A85" s="136" t="s">
        <v>231</v>
      </c>
      <c r="B85" s="136" t="s">
        <v>79</v>
      </c>
      <c r="C85" s="226">
        <v>13.0</v>
      </c>
      <c r="D85" s="226">
        <v>6.0</v>
      </c>
      <c r="E85" s="226">
        <v>2.0</v>
      </c>
      <c r="F85" s="226">
        <v>0.0</v>
      </c>
      <c r="G85" s="226">
        <v>0.0</v>
      </c>
      <c r="H85" s="226">
        <v>0.0</v>
      </c>
      <c r="I85" s="226">
        <v>0.0</v>
      </c>
    </row>
    <row r="86">
      <c r="A86" s="136" t="s">
        <v>231</v>
      </c>
      <c r="B86" s="136" t="s">
        <v>106</v>
      </c>
      <c r="C86" s="226">
        <v>17.0</v>
      </c>
      <c r="D86" s="226">
        <v>3.0</v>
      </c>
      <c r="E86" s="226">
        <v>0.0</v>
      </c>
      <c r="F86" s="226">
        <v>0.0</v>
      </c>
      <c r="G86" s="226">
        <v>0.0</v>
      </c>
      <c r="H86" s="226">
        <v>0.0</v>
      </c>
      <c r="I86" s="226">
        <v>0.0</v>
      </c>
    </row>
    <row r="87">
      <c r="A87" s="136" t="s">
        <v>231</v>
      </c>
      <c r="B87" s="136" t="s">
        <v>90</v>
      </c>
      <c r="C87" s="226">
        <v>15.0</v>
      </c>
      <c r="D87" s="226">
        <v>5.0</v>
      </c>
      <c r="E87" s="226">
        <v>0.0</v>
      </c>
      <c r="F87" s="226">
        <v>1.0</v>
      </c>
      <c r="G87" s="226">
        <v>0.0</v>
      </c>
      <c r="H87" s="226">
        <v>0.0</v>
      </c>
      <c r="I87" s="226">
        <v>0.0</v>
      </c>
    </row>
    <row r="88">
      <c r="A88" s="136" t="s">
        <v>232</v>
      </c>
      <c r="B88" s="136" t="s">
        <v>127</v>
      </c>
      <c r="C88" s="226">
        <v>17.0</v>
      </c>
      <c r="D88" s="226">
        <v>4.0</v>
      </c>
      <c r="E88" s="226">
        <v>0.0</v>
      </c>
      <c r="F88" s="226">
        <v>2.0</v>
      </c>
      <c r="G88" s="226">
        <v>0.0</v>
      </c>
      <c r="H88" s="226">
        <v>0.0</v>
      </c>
      <c r="I88" s="226">
        <v>0.0</v>
      </c>
    </row>
    <row r="89">
      <c r="A89" s="136" t="s">
        <v>232</v>
      </c>
      <c r="B89" s="136" t="s">
        <v>86</v>
      </c>
      <c r="C89" s="226">
        <v>15.0</v>
      </c>
      <c r="D89" s="226">
        <v>6.0</v>
      </c>
      <c r="E89" s="226">
        <v>1.0</v>
      </c>
      <c r="F89" s="226">
        <v>0.0</v>
      </c>
      <c r="G89" s="226">
        <v>0.0</v>
      </c>
      <c r="H89" s="226">
        <v>0.0</v>
      </c>
      <c r="I89" s="226">
        <v>0.0</v>
      </c>
    </row>
    <row r="90">
      <c r="A90" s="136" t="s">
        <v>232</v>
      </c>
      <c r="B90" s="136" t="s">
        <v>99</v>
      </c>
      <c r="C90" s="226">
        <v>17.0</v>
      </c>
      <c r="D90" s="226">
        <v>3.0</v>
      </c>
      <c r="E90" s="226">
        <v>1.0</v>
      </c>
      <c r="F90" s="226">
        <v>1.0</v>
      </c>
      <c r="G90" s="226">
        <v>0.0</v>
      </c>
      <c r="H90" s="226">
        <v>0.0</v>
      </c>
      <c r="I90" s="226">
        <v>0.0</v>
      </c>
    </row>
    <row r="91">
      <c r="A91" s="136" t="s">
        <v>232</v>
      </c>
      <c r="B91" s="136" t="s">
        <v>81</v>
      </c>
      <c r="C91" s="226">
        <v>14.0</v>
      </c>
      <c r="D91" s="226">
        <v>6.0</v>
      </c>
      <c r="E91" s="226">
        <v>0.0</v>
      </c>
      <c r="F91" s="226">
        <v>3.0</v>
      </c>
      <c r="G91" s="226">
        <v>0.0</v>
      </c>
      <c r="H91" s="226">
        <v>0.0</v>
      </c>
      <c r="I91" s="226">
        <v>0.0</v>
      </c>
    </row>
    <row r="92">
      <c r="A92" s="136" t="s">
        <v>233</v>
      </c>
      <c r="B92" s="136" t="s">
        <v>91</v>
      </c>
      <c r="C92" s="226">
        <v>15.0</v>
      </c>
      <c r="D92" s="226">
        <v>6.0</v>
      </c>
      <c r="E92" s="226">
        <v>2.0</v>
      </c>
      <c r="F92" s="226">
        <v>0.0</v>
      </c>
      <c r="G92" s="226">
        <v>0.0</v>
      </c>
      <c r="H92" s="226">
        <v>0.0</v>
      </c>
      <c r="I92" s="226">
        <v>0.0</v>
      </c>
    </row>
    <row r="93">
      <c r="A93" s="136" t="s">
        <v>233</v>
      </c>
      <c r="B93" s="136" t="s">
        <v>136</v>
      </c>
      <c r="C93" s="226">
        <v>16.0</v>
      </c>
      <c r="D93" s="226">
        <v>4.0</v>
      </c>
      <c r="E93" s="226">
        <v>0.0</v>
      </c>
      <c r="F93" s="226">
        <v>0.0</v>
      </c>
      <c r="G93" s="226">
        <v>0.0</v>
      </c>
      <c r="H93" s="226">
        <v>0.0</v>
      </c>
      <c r="I93" s="226">
        <v>0.0</v>
      </c>
    </row>
    <row r="94">
      <c r="A94" s="136" t="s">
        <v>233</v>
      </c>
      <c r="B94" s="136" t="s">
        <v>126</v>
      </c>
      <c r="C94" s="226">
        <v>18.0</v>
      </c>
      <c r="D94" s="226">
        <v>2.0</v>
      </c>
      <c r="E94" s="226">
        <v>2.0</v>
      </c>
      <c r="F94" s="226">
        <v>1.0</v>
      </c>
      <c r="G94" s="226">
        <v>0.0</v>
      </c>
      <c r="H94" s="226">
        <v>0.0</v>
      </c>
      <c r="I94" s="226">
        <v>0.0</v>
      </c>
    </row>
    <row r="95">
      <c r="A95" s="136" t="s">
        <v>233</v>
      </c>
      <c r="B95" s="136" t="s">
        <v>113</v>
      </c>
      <c r="C95" s="226">
        <v>15.0</v>
      </c>
      <c r="D95" s="226">
        <v>5.0</v>
      </c>
      <c r="E95" s="226">
        <v>1.0</v>
      </c>
      <c r="F95" s="226">
        <v>0.0</v>
      </c>
      <c r="G95" s="226">
        <v>0.0</v>
      </c>
      <c r="H95" s="226">
        <v>0.0</v>
      </c>
      <c r="I95" s="226">
        <v>0.0</v>
      </c>
    </row>
    <row r="96">
      <c r="A96" s="136" t="s">
        <v>234</v>
      </c>
      <c r="B96" s="136" t="s">
        <v>105</v>
      </c>
      <c r="C96" s="226">
        <v>11.0</v>
      </c>
      <c r="D96" s="226">
        <v>5.0</v>
      </c>
      <c r="E96" s="226">
        <v>2.0</v>
      </c>
      <c r="F96" s="226">
        <v>1.0</v>
      </c>
      <c r="G96" s="226">
        <v>0.0</v>
      </c>
      <c r="H96" s="226">
        <v>0.0</v>
      </c>
      <c r="I96" s="226">
        <v>0.0</v>
      </c>
    </row>
    <row r="97">
      <c r="A97" s="136" t="s">
        <v>234</v>
      </c>
      <c r="B97" s="136" t="s">
        <v>104</v>
      </c>
      <c r="C97" s="226">
        <v>11.0</v>
      </c>
      <c r="D97" s="226">
        <v>5.0</v>
      </c>
      <c r="E97" s="226">
        <v>1.0</v>
      </c>
      <c r="F97" s="226">
        <v>1.0</v>
      </c>
      <c r="G97" s="226">
        <v>0.0</v>
      </c>
      <c r="H97" s="226">
        <v>0.0</v>
      </c>
      <c r="I97" s="226">
        <v>0.0</v>
      </c>
    </row>
    <row r="98">
      <c r="A98" s="136" t="s">
        <v>234</v>
      </c>
      <c r="B98" s="136" t="s">
        <v>79</v>
      </c>
      <c r="C98" s="226">
        <v>10.0</v>
      </c>
      <c r="D98" s="226">
        <v>6.0</v>
      </c>
      <c r="E98" s="226">
        <v>1.0</v>
      </c>
      <c r="F98" s="226">
        <v>0.0</v>
      </c>
      <c r="G98" s="226">
        <v>0.0</v>
      </c>
      <c r="H98" s="226">
        <v>0.0</v>
      </c>
      <c r="I98" s="226">
        <v>0.0</v>
      </c>
    </row>
    <row r="99">
      <c r="A99" s="136" t="s">
        <v>234</v>
      </c>
      <c r="B99" s="136" t="s">
        <v>134</v>
      </c>
      <c r="C99" s="226">
        <v>14.0</v>
      </c>
      <c r="D99" s="226">
        <v>2.0</v>
      </c>
      <c r="E99" s="226">
        <v>1.0</v>
      </c>
      <c r="F99" s="226">
        <v>3.0</v>
      </c>
      <c r="G99" s="226">
        <v>0.0</v>
      </c>
      <c r="H99" s="226">
        <v>0.0</v>
      </c>
      <c r="I99" s="226">
        <v>0.0</v>
      </c>
    </row>
    <row r="100">
      <c r="A100" s="136" t="s">
        <v>235</v>
      </c>
      <c r="B100" s="136" t="s">
        <v>114</v>
      </c>
      <c r="C100" s="226">
        <v>16.0</v>
      </c>
      <c r="D100" s="226">
        <v>5.0</v>
      </c>
      <c r="E100" s="226">
        <v>0.0</v>
      </c>
      <c r="F100" s="226">
        <v>2.0</v>
      </c>
      <c r="G100" s="226">
        <v>0.0</v>
      </c>
      <c r="H100" s="226">
        <v>0.0</v>
      </c>
      <c r="I100" s="226">
        <v>1.0</v>
      </c>
    </row>
    <row r="101">
      <c r="A101" s="136" t="s">
        <v>235</v>
      </c>
      <c r="B101" s="136" t="s">
        <v>103</v>
      </c>
      <c r="C101" s="226">
        <v>20.0</v>
      </c>
      <c r="D101" s="226">
        <v>2.0</v>
      </c>
      <c r="E101" s="226">
        <v>0.0</v>
      </c>
      <c r="F101" s="226">
        <v>1.0</v>
      </c>
      <c r="G101" s="226">
        <v>0.0</v>
      </c>
      <c r="H101" s="226">
        <v>0.0</v>
      </c>
      <c r="I101" s="226">
        <v>0.0</v>
      </c>
    </row>
    <row r="102">
      <c r="A102" s="136" t="s">
        <v>235</v>
      </c>
      <c r="B102" s="136" t="s">
        <v>130</v>
      </c>
      <c r="C102" s="226">
        <v>16.0</v>
      </c>
      <c r="D102" s="226">
        <v>6.0</v>
      </c>
      <c r="E102" s="226">
        <v>0.0</v>
      </c>
      <c r="F102" s="226">
        <v>2.0</v>
      </c>
      <c r="G102" s="226">
        <v>0.0</v>
      </c>
      <c r="H102" s="226">
        <v>0.0</v>
      </c>
      <c r="I102" s="226">
        <v>0.0</v>
      </c>
    </row>
    <row r="103">
      <c r="A103" s="136" t="s">
        <v>235</v>
      </c>
      <c r="B103" s="136" t="s">
        <v>129</v>
      </c>
      <c r="C103" s="226">
        <v>17.0</v>
      </c>
      <c r="D103" s="226">
        <v>4.0</v>
      </c>
      <c r="E103" s="226">
        <v>0.0</v>
      </c>
      <c r="F103" s="226">
        <v>3.0</v>
      </c>
      <c r="G103" s="226">
        <v>0.0</v>
      </c>
      <c r="H103" s="226">
        <v>0.0</v>
      </c>
      <c r="I103" s="226">
        <v>0.0</v>
      </c>
    </row>
    <row r="104">
      <c r="A104" s="136" t="s">
        <v>236</v>
      </c>
      <c r="B104" s="136" t="s">
        <v>83</v>
      </c>
      <c r="C104" s="226">
        <v>10.0</v>
      </c>
      <c r="D104" s="226">
        <v>7.0</v>
      </c>
      <c r="E104" s="226">
        <v>1.0</v>
      </c>
      <c r="F104" s="226">
        <v>1.0</v>
      </c>
      <c r="G104" s="226">
        <v>0.0</v>
      </c>
      <c r="H104" s="226">
        <v>0.0</v>
      </c>
      <c r="I104" s="226">
        <v>0.0</v>
      </c>
    </row>
    <row r="105">
      <c r="A105" s="136" t="s">
        <v>236</v>
      </c>
      <c r="B105" s="136" t="s">
        <v>110</v>
      </c>
      <c r="C105" s="226">
        <v>13.0</v>
      </c>
      <c r="D105" s="226">
        <v>3.0</v>
      </c>
      <c r="E105" s="226">
        <v>0.0</v>
      </c>
      <c r="F105" s="226">
        <v>2.0</v>
      </c>
      <c r="G105" s="226">
        <v>0.0</v>
      </c>
      <c r="H105" s="226">
        <v>0.0</v>
      </c>
      <c r="I105" s="226">
        <v>0.0</v>
      </c>
    </row>
    <row r="106">
      <c r="A106" s="136" t="s">
        <v>236</v>
      </c>
      <c r="B106" s="136" t="s">
        <v>105</v>
      </c>
      <c r="C106" s="226">
        <v>11.0</v>
      </c>
      <c r="D106" s="226">
        <v>3.0</v>
      </c>
      <c r="E106" s="226">
        <v>0.0</v>
      </c>
      <c r="F106" s="226">
        <v>0.0</v>
      </c>
      <c r="G106" s="226">
        <v>0.0</v>
      </c>
      <c r="H106" s="226">
        <v>0.0</v>
      </c>
      <c r="I106" s="226">
        <v>0.0</v>
      </c>
    </row>
    <row r="107">
      <c r="A107" s="136" t="s">
        <v>236</v>
      </c>
      <c r="B107" s="136" t="s">
        <v>104</v>
      </c>
      <c r="C107" s="226">
        <v>12.0</v>
      </c>
      <c r="D107" s="226">
        <v>2.0</v>
      </c>
      <c r="E107" s="226">
        <v>1.0</v>
      </c>
      <c r="F107" s="226">
        <v>2.0</v>
      </c>
      <c r="G107" s="226">
        <v>0.0</v>
      </c>
      <c r="H107" s="226">
        <v>0.0</v>
      </c>
      <c r="I107" s="226">
        <v>0.0</v>
      </c>
    </row>
    <row r="108">
      <c r="A108" s="136" t="s">
        <v>237</v>
      </c>
      <c r="B108" s="136" t="s">
        <v>107</v>
      </c>
      <c r="C108" s="226">
        <v>20.0</v>
      </c>
      <c r="D108" s="226">
        <v>6.0</v>
      </c>
      <c r="E108" s="226">
        <v>0.0</v>
      </c>
      <c r="F108" s="226">
        <v>0.0</v>
      </c>
      <c r="G108" s="226">
        <v>0.0</v>
      </c>
      <c r="H108" s="226">
        <v>0.0</v>
      </c>
      <c r="I108" s="226">
        <v>0.0</v>
      </c>
    </row>
    <row r="109">
      <c r="A109" s="136" t="s">
        <v>237</v>
      </c>
      <c r="B109" s="136" t="s">
        <v>118</v>
      </c>
      <c r="C109" s="226">
        <v>23.0</v>
      </c>
      <c r="D109" s="226">
        <v>3.0</v>
      </c>
      <c r="E109" s="226">
        <v>1.0</v>
      </c>
      <c r="F109" s="226">
        <v>2.0</v>
      </c>
      <c r="G109" s="226">
        <v>0.0</v>
      </c>
      <c r="H109" s="226">
        <v>0.0</v>
      </c>
      <c r="I109" s="226">
        <v>0.0</v>
      </c>
    </row>
    <row r="110">
      <c r="A110" s="136" t="s">
        <v>237</v>
      </c>
      <c r="B110" s="136" t="s">
        <v>123</v>
      </c>
      <c r="C110" s="226">
        <v>23.0</v>
      </c>
      <c r="D110" s="226">
        <v>4.0</v>
      </c>
      <c r="E110" s="226">
        <v>0.0</v>
      </c>
      <c r="F110" s="226">
        <v>4.0</v>
      </c>
      <c r="G110" s="226">
        <v>0.0</v>
      </c>
      <c r="H110" s="226">
        <v>0.0</v>
      </c>
      <c r="I110" s="226">
        <v>0.0</v>
      </c>
    </row>
    <row r="111">
      <c r="A111" s="136" t="s">
        <v>237</v>
      </c>
      <c r="B111" s="136" t="s">
        <v>111</v>
      </c>
      <c r="C111" s="226">
        <v>21.0</v>
      </c>
      <c r="D111" s="226">
        <v>6.0</v>
      </c>
      <c r="E111" s="226">
        <v>0.0</v>
      </c>
      <c r="F111" s="226">
        <v>2.0</v>
      </c>
      <c r="G111" s="226">
        <v>0.0</v>
      </c>
      <c r="H111" s="226">
        <v>0.0</v>
      </c>
      <c r="I111" s="226">
        <v>0.0</v>
      </c>
    </row>
    <row r="112">
      <c r="A112" s="136" t="s">
        <v>238</v>
      </c>
      <c r="B112" s="136" t="s">
        <v>96</v>
      </c>
      <c r="C112" s="226">
        <v>17.0</v>
      </c>
      <c r="D112" s="226">
        <v>10.0</v>
      </c>
      <c r="E112" s="226">
        <v>1.0</v>
      </c>
      <c r="F112" s="226">
        <v>1.0</v>
      </c>
      <c r="G112" s="226">
        <v>0.0</v>
      </c>
      <c r="H112" s="226">
        <v>0.0</v>
      </c>
      <c r="I112" s="226">
        <v>0.0</v>
      </c>
    </row>
    <row r="113">
      <c r="A113" s="136" t="s">
        <v>238</v>
      </c>
      <c r="B113" s="136" t="s">
        <v>89</v>
      </c>
      <c r="C113" s="226">
        <v>21.0</v>
      </c>
      <c r="D113" s="226">
        <v>6.0</v>
      </c>
      <c r="E113" s="226">
        <v>0.0</v>
      </c>
      <c r="F113" s="226">
        <v>3.0</v>
      </c>
      <c r="G113" s="226">
        <v>0.0</v>
      </c>
      <c r="H113" s="226">
        <v>0.0</v>
      </c>
      <c r="I113" s="226">
        <v>0.0</v>
      </c>
    </row>
    <row r="114">
      <c r="A114" s="136" t="s">
        <v>238</v>
      </c>
      <c r="B114" s="136" t="s">
        <v>102</v>
      </c>
      <c r="C114" s="226">
        <v>20.0</v>
      </c>
      <c r="D114" s="226">
        <v>5.0</v>
      </c>
      <c r="E114" s="226">
        <v>1.0</v>
      </c>
      <c r="F114" s="226">
        <v>1.0</v>
      </c>
      <c r="G114" s="226">
        <v>0.0</v>
      </c>
      <c r="H114" s="226">
        <v>0.0</v>
      </c>
      <c r="I114" s="226">
        <v>0.0</v>
      </c>
    </row>
    <row r="115">
      <c r="A115" s="136" t="s">
        <v>238</v>
      </c>
      <c r="B115" s="136" t="s">
        <v>117</v>
      </c>
      <c r="C115" s="226">
        <v>17.0</v>
      </c>
      <c r="D115" s="226">
        <v>8.0</v>
      </c>
      <c r="E115" s="226">
        <v>1.0</v>
      </c>
      <c r="F115" s="226">
        <v>2.0</v>
      </c>
      <c r="G115" s="226">
        <v>0.0</v>
      </c>
      <c r="H115" s="226">
        <v>0.0</v>
      </c>
      <c r="I115" s="226">
        <v>0.0</v>
      </c>
    </row>
    <row r="116">
      <c r="A116" s="136" t="s">
        <v>239</v>
      </c>
      <c r="B116" s="136" t="s">
        <v>128</v>
      </c>
      <c r="C116" s="226">
        <v>23.0</v>
      </c>
      <c r="D116" s="226">
        <v>6.0</v>
      </c>
      <c r="E116" s="226">
        <v>0.0</v>
      </c>
      <c r="F116" s="226">
        <v>3.0</v>
      </c>
      <c r="G116" s="226">
        <v>0.0</v>
      </c>
      <c r="H116" s="226">
        <v>0.0</v>
      </c>
      <c r="I116" s="226">
        <v>0.0</v>
      </c>
    </row>
    <row r="117">
      <c r="A117" s="136" t="s">
        <v>239</v>
      </c>
      <c r="B117" s="136" t="s">
        <v>122</v>
      </c>
      <c r="C117" s="226">
        <v>25.0</v>
      </c>
      <c r="D117" s="226">
        <v>4.0</v>
      </c>
      <c r="E117" s="226">
        <v>0.0</v>
      </c>
      <c r="F117" s="226">
        <v>6.0</v>
      </c>
      <c r="G117" s="226">
        <v>0.0</v>
      </c>
      <c r="H117" s="226">
        <v>0.0</v>
      </c>
      <c r="I117" s="226">
        <v>0.0</v>
      </c>
    </row>
    <row r="118">
      <c r="A118" s="136" t="s">
        <v>239</v>
      </c>
      <c r="B118" s="136" t="s">
        <v>115</v>
      </c>
      <c r="C118" s="226">
        <v>23.0</v>
      </c>
      <c r="D118" s="226">
        <v>6.0</v>
      </c>
      <c r="E118" s="226">
        <v>1.0</v>
      </c>
      <c r="F118" s="226">
        <v>2.0</v>
      </c>
      <c r="G118" s="226">
        <v>0.0</v>
      </c>
      <c r="H118" s="226">
        <v>0.0</v>
      </c>
      <c r="I118" s="226">
        <v>0.0</v>
      </c>
    </row>
    <row r="119">
      <c r="A119" s="136" t="s">
        <v>239</v>
      </c>
      <c r="B119" s="136" t="s">
        <v>137</v>
      </c>
      <c r="C119" s="226">
        <v>27.0</v>
      </c>
      <c r="D119" s="226">
        <v>2.0</v>
      </c>
      <c r="E119" s="226">
        <v>4.0</v>
      </c>
      <c r="F119" s="226">
        <v>3.0</v>
      </c>
      <c r="G119" s="226">
        <v>0.0</v>
      </c>
      <c r="H119" s="226">
        <v>0.0</v>
      </c>
      <c r="I119" s="226">
        <v>0.0</v>
      </c>
    </row>
    <row r="120">
      <c r="A120" s="136" t="s">
        <v>240</v>
      </c>
      <c r="B120" s="136" t="s">
        <v>113</v>
      </c>
      <c r="C120" s="226">
        <v>10.0</v>
      </c>
      <c r="D120" s="226">
        <v>2.0</v>
      </c>
      <c r="E120" s="226">
        <v>0.0</v>
      </c>
      <c r="F120" s="226">
        <v>1.0</v>
      </c>
      <c r="G120" s="226">
        <v>0.0</v>
      </c>
      <c r="H120" s="226">
        <v>0.0</v>
      </c>
      <c r="I120" s="226">
        <v>0.0</v>
      </c>
    </row>
    <row r="121">
      <c r="A121" s="136" t="s">
        <v>240</v>
      </c>
      <c r="B121" s="136" t="s">
        <v>126</v>
      </c>
      <c r="C121" s="226">
        <v>9.0</v>
      </c>
      <c r="D121" s="226">
        <v>4.0</v>
      </c>
      <c r="E121" s="226">
        <v>0.0</v>
      </c>
      <c r="F121" s="226">
        <v>0.0</v>
      </c>
      <c r="G121" s="226">
        <v>1.0</v>
      </c>
      <c r="H121" s="226">
        <v>0.0</v>
      </c>
      <c r="I121" s="226">
        <v>0.0</v>
      </c>
    </row>
    <row r="122">
      <c r="A122" s="136" t="s">
        <v>240</v>
      </c>
      <c r="B122" s="136" t="s">
        <v>108</v>
      </c>
      <c r="C122" s="226">
        <v>10.0</v>
      </c>
      <c r="D122" s="226">
        <v>2.0</v>
      </c>
      <c r="E122" s="226">
        <v>0.0</v>
      </c>
      <c r="F122" s="226">
        <v>4.0</v>
      </c>
      <c r="G122" s="226">
        <v>0.0</v>
      </c>
      <c r="H122" s="226">
        <v>0.0</v>
      </c>
      <c r="I122" s="226">
        <v>0.0</v>
      </c>
    </row>
    <row r="123">
      <c r="A123" s="136" t="s">
        <v>240</v>
      </c>
      <c r="B123" s="136" t="s">
        <v>73</v>
      </c>
      <c r="C123" s="226">
        <v>4.0</v>
      </c>
      <c r="D123" s="226">
        <v>8.0</v>
      </c>
      <c r="E123" s="226">
        <v>0.0</v>
      </c>
      <c r="F123" s="226">
        <v>0.0</v>
      </c>
      <c r="G123" s="226">
        <v>0.0</v>
      </c>
      <c r="H123" s="226">
        <v>0.0</v>
      </c>
      <c r="I123" s="226">
        <v>0.0</v>
      </c>
    </row>
    <row r="124">
      <c r="A124" s="136" t="s">
        <v>241</v>
      </c>
      <c r="B124" s="136" t="s">
        <v>127</v>
      </c>
      <c r="C124" s="226">
        <v>20.0</v>
      </c>
      <c r="D124" s="226">
        <v>3.0</v>
      </c>
      <c r="E124" s="226">
        <v>0.0</v>
      </c>
      <c r="F124" s="226">
        <v>6.0</v>
      </c>
      <c r="G124" s="226">
        <v>0.0</v>
      </c>
      <c r="H124" s="226">
        <v>0.0</v>
      </c>
      <c r="I124" s="226">
        <v>0.0</v>
      </c>
    </row>
    <row r="125">
      <c r="A125" s="136" t="s">
        <v>241</v>
      </c>
      <c r="B125" s="136" t="s">
        <v>86</v>
      </c>
      <c r="C125" s="226">
        <v>16.0</v>
      </c>
      <c r="D125" s="226">
        <v>7.0</v>
      </c>
      <c r="E125" s="226">
        <v>0.0</v>
      </c>
      <c r="F125" s="226">
        <v>3.0</v>
      </c>
      <c r="G125" s="226">
        <v>0.0</v>
      </c>
      <c r="H125" s="226">
        <v>0.0</v>
      </c>
      <c r="I125" s="226">
        <v>0.0</v>
      </c>
    </row>
    <row r="126">
      <c r="A126" s="136" t="s">
        <v>241</v>
      </c>
      <c r="B126" s="136" t="s">
        <v>125</v>
      </c>
      <c r="C126" s="226">
        <v>18.0</v>
      </c>
      <c r="D126" s="226">
        <v>5.0</v>
      </c>
      <c r="E126" s="226">
        <v>1.0</v>
      </c>
      <c r="F126" s="226">
        <v>2.0</v>
      </c>
      <c r="G126" s="226">
        <v>0.0</v>
      </c>
      <c r="H126" s="226">
        <v>0.0</v>
      </c>
      <c r="I126" s="226">
        <v>0.0</v>
      </c>
    </row>
    <row r="127">
      <c r="A127" s="136" t="s">
        <v>241</v>
      </c>
      <c r="B127" s="136" t="s">
        <v>93</v>
      </c>
      <c r="C127" s="226">
        <v>19.0</v>
      </c>
      <c r="D127" s="226">
        <v>4.0</v>
      </c>
      <c r="E127" s="226">
        <v>1.0</v>
      </c>
      <c r="F127" s="226">
        <v>1.0</v>
      </c>
      <c r="G127" s="226">
        <v>0.0</v>
      </c>
      <c r="H127" s="226">
        <v>0.0</v>
      </c>
      <c r="I127" s="226">
        <v>0.0</v>
      </c>
    </row>
    <row r="128">
      <c r="A128" s="136" t="s">
        <v>242</v>
      </c>
      <c r="B128" s="136" t="s">
        <v>87</v>
      </c>
      <c r="C128" s="226">
        <v>12.0</v>
      </c>
      <c r="D128" s="226">
        <v>7.0</v>
      </c>
      <c r="E128" s="226">
        <v>0.0</v>
      </c>
      <c r="F128" s="226">
        <v>0.0</v>
      </c>
      <c r="G128" s="226">
        <v>0.0</v>
      </c>
      <c r="H128" s="226">
        <v>0.0</v>
      </c>
      <c r="I128" s="226">
        <v>0.0</v>
      </c>
    </row>
    <row r="129">
      <c r="A129" s="136" t="s">
        <v>242</v>
      </c>
      <c r="B129" s="136" t="s">
        <v>109</v>
      </c>
      <c r="C129" s="226">
        <v>17.0</v>
      </c>
      <c r="D129" s="226">
        <v>2.0</v>
      </c>
      <c r="E129" s="226">
        <v>0.0</v>
      </c>
      <c r="F129" s="226">
        <v>0.0</v>
      </c>
      <c r="G129" s="226">
        <v>0.0</v>
      </c>
      <c r="H129" s="226">
        <v>0.0</v>
      </c>
      <c r="I129" s="226">
        <v>0.0</v>
      </c>
    </row>
    <row r="130">
      <c r="A130" s="136" t="s">
        <v>242</v>
      </c>
      <c r="B130" s="136" t="s">
        <v>96</v>
      </c>
      <c r="C130" s="226">
        <v>14.0</v>
      </c>
      <c r="D130" s="226">
        <v>2.0</v>
      </c>
      <c r="E130" s="226">
        <v>0.0</v>
      </c>
      <c r="F130" s="226">
        <v>1.0</v>
      </c>
      <c r="G130" s="226">
        <v>0.0</v>
      </c>
      <c r="H130" s="226">
        <v>0.0</v>
      </c>
      <c r="I130" s="226">
        <v>1.0</v>
      </c>
    </row>
    <row r="131">
      <c r="A131" s="136" t="s">
        <v>242</v>
      </c>
      <c r="B131" s="136" t="s">
        <v>89</v>
      </c>
      <c r="C131" s="226">
        <v>10.0</v>
      </c>
      <c r="D131" s="226">
        <v>8.0</v>
      </c>
      <c r="E131" s="226">
        <v>0.0</v>
      </c>
      <c r="F131" s="226">
        <v>0.0</v>
      </c>
      <c r="G131" s="226">
        <v>0.0</v>
      </c>
      <c r="H131" s="226">
        <v>0.0</v>
      </c>
      <c r="I131" s="226">
        <v>0.0</v>
      </c>
    </row>
    <row r="132">
      <c r="A132" s="136" t="s">
        <v>243</v>
      </c>
      <c r="B132" s="136" t="s">
        <v>83</v>
      </c>
      <c r="C132" s="226">
        <v>13.0</v>
      </c>
      <c r="D132" s="226">
        <v>6.0</v>
      </c>
      <c r="E132" s="226">
        <v>1.0</v>
      </c>
      <c r="F132" s="226">
        <v>1.0</v>
      </c>
      <c r="G132" s="226">
        <v>0.0</v>
      </c>
      <c r="H132" s="226">
        <v>0.0</v>
      </c>
      <c r="I132" s="226">
        <v>0.0</v>
      </c>
    </row>
    <row r="133">
      <c r="A133" s="136" t="s">
        <v>243</v>
      </c>
      <c r="B133" s="136" t="s">
        <v>110</v>
      </c>
      <c r="C133" s="226">
        <v>16.0</v>
      </c>
      <c r="D133" s="226">
        <v>4.0</v>
      </c>
      <c r="E133" s="226">
        <v>0.0</v>
      </c>
      <c r="F133" s="226">
        <v>1.0</v>
      </c>
      <c r="G133" s="226">
        <v>0.0</v>
      </c>
      <c r="H133" s="226">
        <v>0.0</v>
      </c>
      <c r="I133" s="226">
        <v>0.0</v>
      </c>
    </row>
    <row r="134">
      <c r="A134" s="136" t="s">
        <v>243</v>
      </c>
      <c r="B134" s="136" t="s">
        <v>79</v>
      </c>
      <c r="C134" s="226">
        <v>14.0</v>
      </c>
      <c r="D134" s="226">
        <v>6.0</v>
      </c>
      <c r="E134" s="226">
        <v>2.0</v>
      </c>
      <c r="F134" s="226">
        <v>0.0</v>
      </c>
      <c r="G134" s="226">
        <v>0.0</v>
      </c>
      <c r="H134" s="226">
        <v>0.0</v>
      </c>
      <c r="I134" s="226">
        <v>0.0</v>
      </c>
    </row>
    <row r="135">
      <c r="A135" s="136" t="s">
        <v>243</v>
      </c>
      <c r="B135" s="136" t="s">
        <v>134</v>
      </c>
      <c r="C135" s="226">
        <v>18.0</v>
      </c>
      <c r="D135" s="226">
        <v>2.0</v>
      </c>
      <c r="E135" s="226">
        <v>1.0</v>
      </c>
      <c r="F135" s="226">
        <v>1.0</v>
      </c>
      <c r="G135" s="226">
        <v>0.0</v>
      </c>
      <c r="H135" s="226">
        <v>0.0</v>
      </c>
      <c r="I135" s="226">
        <v>0.0</v>
      </c>
    </row>
    <row r="136">
      <c r="A136" s="136" t="s">
        <v>244</v>
      </c>
      <c r="B136" s="136" t="s">
        <v>106</v>
      </c>
      <c r="C136" s="226">
        <v>17.0</v>
      </c>
      <c r="D136" s="226">
        <v>5.0</v>
      </c>
      <c r="E136" s="226">
        <v>2.0</v>
      </c>
      <c r="F136" s="226">
        <v>2.0</v>
      </c>
      <c r="G136" s="226">
        <v>0.0</v>
      </c>
      <c r="H136" s="226">
        <v>0.0</v>
      </c>
      <c r="I136" s="226">
        <v>0.0</v>
      </c>
    </row>
    <row r="137">
      <c r="A137" s="136" t="s">
        <v>244</v>
      </c>
      <c r="B137" s="136" t="s">
        <v>90</v>
      </c>
      <c r="C137" s="226">
        <v>16.0</v>
      </c>
      <c r="D137" s="226">
        <v>5.0</v>
      </c>
      <c r="E137" s="226">
        <v>1.0</v>
      </c>
      <c r="F137" s="226">
        <v>1.0</v>
      </c>
      <c r="G137" s="226">
        <v>0.0</v>
      </c>
      <c r="H137" s="226">
        <v>0.0</v>
      </c>
      <c r="I137" s="226">
        <v>0.0</v>
      </c>
    </row>
    <row r="138">
      <c r="A138" s="136" t="s">
        <v>244</v>
      </c>
      <c r="B138" s="136" t="s">
        <v>104</v>
      </c>
      <c r="C138" s="226">
        <v>15.0</v>
      </c>
      <c r="D138" s="226">
        <v>5.0</v>
      </c>
      <c r="E138" s="226">
        <v>1.0</v>
      </c>
      <c r="F138" s="226">
        <v>4.0</v>
      </c>
      <c r="G138" s="226">
        <v>0.0</v>
      </c>
      <c r="H138" s="226">
        <v>0.0</v>
      </c>
      <c r="I138" s="226">
        <v>0.0</v>
      </c>
    </row>
    <row r="139">
      <c r="A139" s="136" t="s">
        <v>244</v>
      </c>
      <c r="B139" s="136" t="s">
        <v>105</v>
      </c>
      <c r="C139" s="226">
        <v>16.0</v>
      </c>
      <c r="D139" s="226">
        <v>4.0</v>
      </c>
      <c r="E139" s="226">
        <v>1.0</v>
      </c>
      <c r="F139" s="226">
        <v>0.0</v>
      </c>
      <c r="G139" s="226">
        <v>0.0</v>
      </c>
      <c r="H139" s="226">
        <v>0.0</v>
      </c>
      <c r="I139" s="226">
        <v>0.0</v>
      </c>
    </row>
    <row r="140">
      <c r="A140" s="136" t="s">
        <v>245</v>
      </c>
      <c r="B140" s="136" t="s">
        <v>96</v>
      </c>
      <c r="C140" s="226">
        <v>19.0</v>
      </c>
      <c r="D140" s="226">
        <v>3.0</v>
      </c>
      <c r="E140" s="226">
        <v>1.0</v>
      </c>
      <c r="F140" s="226">
        <v>2.0</v>
      </c>
      <c r="G140" s="226">
        <v>0.0</v>
      </c>
      <c r="H140" s="226">
        <v>0.0</v>
      </c>
      <c r="I140" s="226">
        <v>0.0</v>
      </c>
    </row>
    <row r="141">
      <c r="A141" s="136" t="s">
        <v>245</v>
      </c>
      <c r="B141" s="136" t="s">
        <v>89</v>
      </c>
      <c r="C141" s="226">
        <v>15.0</v>
      </c>
      <c r="D141" s="226">
        <v>7.0</v>
      </c>
      <c r="E141" s="226">
        <v>1.0</v>
      </c>
      <c r="F141" s="226">
        <v>0.0</v>
      </c>
      <c r="G141" s="226">
        <v>0.0</v>
      </c>
      <c r="H141" s="226">
        <v>0.0</v>
      </c>
      <c r="I141" s="226">
        <v>0.0</v>
      </c>
    </row>
    <row r="142">
      <c r="A142" s="136" t="s">
        <v>245</v>
      </c>
      <c r="B142" s="136" t="s">
        <v>116</v>
      </c>
      <c r="C142" s="226">
        <v>19.0</v>
      </c>
      <c r="D142" s="226">
        <v>2.0</v>
      </c>
      <c r="E142" s="226">
        <v>3.0</v>
      </c>
      <c r="F142" s="226">
        <v>0.0</v>
      </c>
      <c r="G142" s="226">
        <v>0.0</v>
      </c>
      <c r="H142" s="226">
        <v>0.0</v>
      </c>
      <c r="I142" s="226">
        <v>0.0</v>
      </c>
    </row>
    <row r="143">
      <c r="A143" s="136" t="s">
        <v>245</v>
      </c>
      <c r="B143" s="136" t="s">
        <v>133</v>
      </c>
      <c r="C143" s="226">
        <v>18.0</v>
      </c>
      <c r="D143" s="226">
        <v>4.0</v>
      </c>
      <c r="E143" s="226">
        <v>0.0</v>
      </c>
      <c r="F143" s="226">
        <v>1.0</v>
      </c>
      <c r="G143" s="226">
        <v>0.0</v>
      </c>
      <c r="H143" s="226">
        <v>0.0</v>
      </c>
      <c r="I143" s="226">
        <v>0.0</v>
      </c>
    </row>
    <row r="144">
      <c r="A144" s="136" t="s">
        <v>246</v>
      </c>
      <c r="B144" s="136" t="s">
        <v>114</v>
      </c>
      <c r="C144" s="226">
        <v>16.0</v>
      </c>
      <c r="D144" s="226">
        <v>3.0</v>
      </c>
      <c r="E144" s="226">
        <v>0.0</v>
      </c>
      <c r="F144" s="226">
        <v>3.0</v>
      </c>
      <c r="G144" s="226">
        <v>0.0</v>
      </c>
      <c r="H144" s="226">
        <v>0.0</v>
      </c>
      <c r="I144" s="226">
        <v>0.0</v>
      </c>
    </row>
    <row r="145">
      <c r="A145" s="136" t="s">
        <v>246</v>
      </c>
      <c r="B145" s="136" t="s">
        <v>103</v>
      </c>
      <c r="C145" s="226">
        <v>12.0</v>
      </c>
      <c r="D145" s="226">
        <v>7.0</v>
      </c>
      <c r="E145" s="226">
        <v>0.0</v>
      </c>
      <c r="F145" s="226">
        <v>1.0</v>
      </c>
      <c r="G145" s="226">
        <v>0.0</v>
      </c>
      <c r="H145" s="226">
        <v>0.0</v>
      </c>
      <c r="I145" s="226">
        <v>0.0</v>
      </c>
    </row>
    <row r="146">
      <c r="A146" s="136" t="s">
        <v>246</v>
      </c>
      <c r="B146" s="136" t="s">
        <v>132</v>
      </c>
      <c r="C146" s="226">
        <v>14.0</v>
      </c>
      <c r="D146" s="226">
        <v>3.0</v>
      </c>
      <c r="E146" s="226">
        <v>0.0</v>
      </c>
      <c r="F146" s="226">
        <v>0.0</v>
      </c>
      <c r="G146" s="226">
        <v>0.0</v>
      </c>
      <c r="H146" s="226">
        <v>0.0</v>
      </c>
      <c r="I146" s="226">
        <v>0.0</v>
      </c>
    </row>
    <row r="147">
      <c r="A147" s="136" t="s">
        <v>246</v>
      </c>
      <c r="B147" s="136" t="s">
        <v>131</v>
      </c>
      <c r="C147" s="226">
        <v>14.0</v>
      </c>
      <c r="D147" s="226">
        <v>3.0</v>
      </c>
      <c r="E147" s="226">
        <v>0.0</v>
      </c>
      <c r="F147" s="226">
        <v>2.0</v>
      </c>
      <c r="G147" s="226">
        <v>0.0</v>
      </c>
      <c r="H147" s="226">
        <v>0.0</v>
      </c>
      <c r="I147" s="226">
        <v>0.0</v>
      </c>
    </row>
    <row r="148">
      <c r="A148" s="136" t="s">
        <v>247</v>
      </c>
      <c r="B148" s="136" t="s">
        <v>92</v>
      </c>
      <c r="C148" s="226">
        <v>5.0</v>
      </c>
      <c r="D148" s="226">
        <v>2.0</v>
      </c>
      <c r="E148" s="226">
        <v>0.0</v>
      </c>
      <c r="F148" s="226">
        <v>0.0</v>
      </c>
      <c r="G148" s="226">
        <v>0.0</v>
      </c>
      <c r="H148" s="226">
        <v>0.0</v>
      </c>
      <c r="I148" s="226">
        <v>0.0</v>
      </c>
    </row>
    <row r="149">
      <c r="A149" s="136" t="s">
        <v>247</v>
      </c>
      <c r="B149" s="136" t="s">
        <v>124</v>
      </c>
      <c r="C149" s="226">
        <v>4.0</v>
      </c>
      <c r="D149" s="226">
        <v>2.0</v>
      </c>
      <c r="E149" s="226">
        <v>0.0</v>
      </c>
      <c r="F149" s="226">
        <v>0.0</v>
      </c>
      <c r="G149" s="226">
        <v>0.0</v>
      </c>
      <c r="H149" s="226">
        <v>0.0</v>
      </c>
      <c r="I149" s="226">
        <v>1.0</v>
      </c>
    </row>
    <row r="150">
      <c r="A150" s="136" t="s">
        <v>247</v>
      </c>
      <c r="B150" s="136" t="s">
        <v>100</v>
      </c>
      <c r="C150" s="226">
        <v>3.0</v>
      </c>
      <c r="D150" s="226">
        <v>7.0</v>
      </c>
      <c r="E150" s="226">
        <v>0.0</v>
      </c>
      <c r="F150" s="226">
        <v>0.0</v>
      </c>
      <c r="G150" s="226">
        <v>0.0</v>
      </c>
      <c r="H150" s="226">
        <v>0.0</v>
      </c>
      <c r="I150" s="226">
        <v>0.0</v>
      </c>
    </row>
    <row r="151">
      <c r="A151" s="136" t="s">
        <v>247</v>
      </c>
      <c r="B151" s="136" t="s">
        <v>82</v>
      </c>
      <c r="C151" s="226">
        <v>7.0</v>
      </c>
      <c r="D151" s="226">
        <v>3.0</v>
      </c>
      <c r="E151" s="226">
        <v>1.0</v>
      </c>
      <c r="F151" s="226">
        <v>0.0</v>
      </c>
      <c r="G151" s="226">
        <v>0.0</v>
      </c>
      <c r="H151" s="226">
        <v>0.0</v>
      </c>
      <c r="I151" s="226">
        <v>0.0</v>
      </c>
    </row>
    <row r="152">
      <c r="A152" s="136" t="s">
        <v>248</v>
      </c>
      <c r="B152" s="136" t="s">
        <v>97</v>
      </c>
      <c r="C152" s="226">
        <v>11.0</v>
      </c>
      <c r="D152" s="226">
        <v>1.0</v>
      </c>
      <c r="E152" s="226">
        <v>0.0</v>
      </c>
      <c r="F152" s="226">
        <v>0.0</v>
      </c>
      <c r="G152" s="226">
        <v>0.0</v>
      </c>
      <c r="H152" s="226">
        <v>0.0</v>
      </c>
      <c r="I152" s="226">
        <v>0.0</v>
      </c>
    </row>
    <row r="153">
      <c r="A153" s="136" t="s">
        <v>248</v>
      </c>
      <c r="B153" s="136" t="s">
        <v>80</v>
      </c>
      <c r="C153" s="226">
        <v>7.0</v>
      </c>
      <c r="D153" s="226">
        <v>5.0</v>
      </c>
      <c r="E153" s="226">
        <v>0.0</v>
      </c>
      <c r="F153" s="226">
        <v>0.0</v>
      </c>
      <c r="G153" s="226">
        <v>0.0</v>
      </c>
      <c r="H153" s="226">
        <v>0.0</v>
      </c>
      <c r="I153" s="226">
        <v>0.0</v>
      </c>
    </row>
    <row r="154">
      <c r="A154" s="136" t="s">
        <v>248</v>
      </c>
      <c r="B154" s="136" t="s">
        <v>85</v>
      </c>
      <c r="C154" s="226">
        <v>10.0</v>
      </c>
      <c r="D154" s="226">
        <v>4.0</v>
      </c>
      <c r="E154" s="226">
        <v>0.0</v>
      </c>
      <c r="F154" s="226">
        <v>0.0</v>
      </c>
      <c r="G154" s="226">
        <v>0.0</v>
      </c>
      <c r="H154" s="226">
        <v>0.0</v>
      </c>
      <c r="I154" s="226">
        <v>0.0</v>
      </c>
    </row>
    <row r="155">
      <c r="A155" s="136" t="s">
        <v>248</v>
      </c>
      <c r="B155" s="136" t="s">
        <v>76</v>
      </c>
      <c r="C155" s="226">
        <v>8.0</v>
      </c>
      <c r="D155" s="226">
        <v>6.0</v>
      </c>
      <c r="E155" s="226">
        <v>0.0</v>
      </c>
      <c r="F155" s="226">
        <v>2.0</v>
      </c>
      <c r="G155" s="226">
        <v>0.0</v>
      </c>
      <c r="H155" s="226">
        <v>0.0</v>
      </c>
      <c r="I155" s="226">
        <v>0.0</v>
      </c>
    </row>
    <row r="156">
      <c r="A156" s="136" t="s">
        <v>249</v>
      </c>
      <c r="B156" s="136" t="s">
        <v>77</v>
      </c>
      <c r="C156" s="226">
        <v>8.0</v>
      </c>
      <c r="D156" s="226">
        <v>5.0</v>
      </c>
      <c r="E156" s="226">
        <v>0.0</v>
      </c>
      <c r="F156" s="226">
        <v>1.0</v>
      </c>
      <c r="G156" s="226">
        <v>0.0</v>
      </c>
      <c r="H156" s="226">
        <v>0.0</v>
      </c>
      <c r="I156" s="226">
        <v>1.0</v>
      </c>
    </row>
    <row r="157">
      <c r="A157" s="136" t="s">
        <v>249</v>
      </c>
      <c r="B157" s="136" t="s">
        <v>101</v>
      </c>
      <c r="C157" s="226">
        <v>10.0</v>
      </c>
      <c r="D157" s="226">
        <v>4.0</v>
      </c>
      <c r="E157" s="226">
        <v>1.0</v>
      </c>
      <c r="F157" s="226">
        <v>1.0</v>
      </c>
      <c r="G157" s="226">
        <v>0.0</v>
      </c>
      <c r="H157" s="226">
        <v>0.0</v>
      </c>
      <c r="I157" s="226">
        <v>0.0</v>
      </c>
    </row>
    <row r="158">
      <c r="A158" s="136" t="s">
        <v>249</v>
      </c>
      <c r="B158" s="136" t="s">
        <v>81</v>
      </c>
      <c r="C158" s="226">
        <v>11.0</v>
      </c>
      <c r="D158" s="226">
        <v>5.0</v>
      </c>
      <c r="E158" s="226">
        <v>0.0</v>
      </c>
      <c r="F158" s="226">
        <v>2.0</v>
      </c>
      <c r="G158" s="226">
        <v>0.0</v>
      </c>
      <c r="H158" s="226">
        <v>0.0</v>
      </c>
      <c r="I158" s="226">
        <v>0.0</v>
      </c>
    </row>
    <row r="159">
      <c r="A159" s="136" t="s">
        <v>249</v>
      </c>
      <c r="B159" s="136" t="s">
        <v>99</v>
      </c>
      <c r="C159" s="226">
        <v>11.0</v>
      </c>
      <c r="D159" s="226">
        <v>5.0</v>
      </c>
      <c r="E159" s="226">
        <v>0.0</v>
      </c>
      <c r="F159" s="226">
        <v>2.0</v>
      </c>
      <c r="G159" s="226">
        <v>0.0</v>
      </c>
      <c r="H159" s="226">
        <v>0.0</v>
      </c>
      <c r="I159" s="226">
        <v>0.0</v>
      </c>
    </row>
    <row r="160">
      <c r="A160" s="136" t="s">
        <v>250</v>
      </c>
      <c r="B160" s="136" t="s">
        <v>128</v>
      </c>
      <c r="C160" s="226">
        <v>24.0</v>
      </c>
      <c r="D160" s="226">
        <v>4.0</v>
      </c>
      <c r="E160" s="226">
        <v>0.0</v>
      </c>
      <c r="F160" s="226">
        <v>0.0</v>
      </c>
      <c r="G160" s="226">
        <v>0.0</v>
      </c>
      <c r="H160" s="226">
        <v>0.0</v>
      </c>
      <c r="I160" s="226">
        <v>0.0</v>
      </c>
    </row>
    <row r="161">
      <c r="A161" s="136" t="s">
        <v>250</v>
      </c>
      <c r="B161" s="136" t="s">
        <v>122</v>
      </c>
      <c r="C161" s="226">
        <v>22.0</v>
      </c>
      <c r="D161" s="226">
        <v>6.0</v>
      </c>
      <c r="E161" s="226">
        <v>0.0</v>
      </c>
      <c r="F161" s="226">
        <v>2.0</v>
      </c>
      <c r="G161" s="226">
        <v>0.0</v>
      </c>
      <c r="H161" s="226">
        <v>0.0</v>
      </c>
      <c r="I161" s="226">
        <v>0.0</v>
      </c>
    </row>
    <row r="162">
      <c r="A162" s="136" t="s">
        <v>250</v>
      </c>
      <c r="B162" s="136" t="s">
        <v>84</v>
      </c>
      <c r="C162" s="226">
        <v>24.0</v>
      </c>
      <c r="D162" s="226">
        <v>5.0</v>
      </c>
      <c r="E162" s="226">
        <v>0.0</v>
      </c>
      <c r="F162" s="226">
        <v>1.0</v>
      </c>
      <c r="G162" s="226">
        <v>0.0</v>
      </c>
      <c r="H162" s="226">
        <v>0.0</v>
      </c>
      <c r="I162" s="226">
        <v>0.0</v>
      </c>
    </row>
    <row r="163">
      <c r="A163" s="136" t="s">
        <v>250</v>
      </c>
      <c r="B163" s="136" t="s">
        <v>121</v>
      </c>
      <c r="C163" s="226">
        <v>25.0</v>
      </c>
      <c r="D163" s="226">
        <v>4.0</v>
      </c>
      <c r="E163" s="226">
        <v>3.0</v>
      </c>
      <c r="F163" s="226">
        <v>0.0</v>
      </c>
      <c r="G163" s="226">
        <v>0.0</v>
      </c>
      <c r="H163" s="226">
        <v>0.0</v>
      </c>
      <c r="I163" s="226">
        <v>0.0</v>
      </c>
    </row>
    <row r="164">
      <c r="A164" s="136" t="s">
        <v>251</v>
      </c>
      <c r="B164" s="136" t="s">
        <v>130</v>
      </c>
      <c r="C164" s="226">
        <v>26.0</v>
      </c>
      <c r="D164" s="226">
        <v>3.0</v>
      </c>
      <c r="E164" s="226">
        <v>0.0</v>
      </c>
      <c r="F164" s="226">
        <v>2.0</v>
      </c>
      <c r="G164" s="226">
        <v>0.0</v>
      </c>
      <c r="H164" s="226">
        <v>0.0</v>
      </c>
      <c r="I164" s="226">
        <v>0.0</v>
      </c>
    </row>
    <row r="165">
      <c r="A165" s="136" t="s">
        <v>251</v>
      </c>
      <c r="B165" s="136" t="s">
        <v>129</v>
      </c>
      <c r="C165" s="226">
        <v>23.0</v>
      </c>
      <c r="D165" s="226">
        <v>6.0</v>
      </c>
      <c r="E165" s="226">
        <v>0.0</v>
      </c>
      <c r="F165" s="226">
        <v>2.0</v>
      </c>
      <c r="G165" s="226">
        <v>0.0</v>
      </c>
      <c r="H165" s="226">
        <v>0.0</v>
      </c>
      <c r="I165" s="226">
        <v>0.0</v>
      </c>
    </row>
    <row r="166">
      <c r="A166" s="136" t="s">
        <v>251</v>
      </c>
      <c r="B166" s="136" t="s">
        <v>132</v>
      </c>
      <c r="C166" s="226">
        <v>23.0</v>
      </c>
      <c r="D166" s="226">
        <v>4.0</v>
      </c>
      <c r="E166" s="226">
        <v>0.0</v>
      </c>
      <c r="F166" s="226">
        <v>2.0</v>
      </c>
      <c r="G166" s="226">
        <v>1.0</v>
      </c>
      <c r="H166" s="226">
        <v>0.0</v>
      </c>
      <c r="I166" s="226">
        <v>0.0</v>
      </c>
    </row>
    <row r="167">
      <c r="A167" s="136" t="s">
        <v>251</v>
      </c>
      <c r="B167" s="136" t="s">
        <v>131</v>
      </c>
      <c r="C167" s="226">
        <v>23.0</v>
      </c>
      <c r="D167" s="226">
        <v>3.0</v>
      </c>
      <c r="E167" s="226">
        <v>1.0</v>
      </c>
      <c r="F167" s="226">
        <v>1.0</v>
      </c>
      <c r="G167" s="226">
        <v>0.0</v>
      </c>
      <c r="H167" s="226">
        <v>0.0</v>
      </c>
      <c r="I167" s="226">
        <v>0.0</v>
      </c>
    </row>
    <row r="168">
      <c r="A168" s="136" t="s">
        <v>252</v>
      </c>
      <c r="B168" s="136" t="s">
        <v>73</v>
      </c>
      <c r="C168" s="226">
        <v>7.0</v>
      </c>
      <c r="D168" s="226">
        <v>4.0</v>
      </c>
      <c r="E168" s="226">
        <v>0.0</v>
      </c>
      <c r="F168" s="226">
        <v>0.0</v>
      </c>
      <c r="G168" s="226">
        <v>0.0</v>
      </c>
      <c r="H168" s="226">
        <v>0.0</v>
      </c>
      <c r="I168" s="226">
        <v>0.0</v>
      </c>
    </row>
    <row r="169">
      <c r="A169" s="136" t="s">
        <v>252</v>
      </c>
      <c r="B169" s="136" t="s">
        <v>108</v>
      </c>
      <c r="C169" s="226">
        <v>5.0</v>
      </c>
      <c r="D169" s="226">
        <v>6.0</v>
      </c>
      <c r="E169" s="226">
        <v>0.0</v>
      </c>
      <c r="F169" s="226">
        <v>0.0</v>
      </c>
      <c r="G169" s="226">
        <v>0.0</v>
      </c>
      <c r="H169" s="226">
        <v>0.0</v>
      </c>
      <c r="I169" s="226">
        <v>0.0</v>
      </c>
    </row>
    <row r="170">
      <c r="A170" s="136" t="s">
        <v>252</v>
      </c>
      <c r="B170" s="136" t="s">
        <v>119</v>
      </c>
      <c r="C170" s="226">
        <v>7.0</v>
      </c>
      <c r="D170" s="226">
        <v>3.0</v>
      </c>
      <c r="E170" s="226">
        <v>1.0</v>
      </c>
      <c r="F170" s="226">
        <v>0.0</v>
      </c>
      <c r="G170" s="226">
        <v>0.0</v>
      </c>
      <c r="H170" s="226">
        <v>0.0</v>
      </c>
      <c r="I170" s="226">
        <v>0.0</v>
      </c>
    </row>
    <row r="171">
      <c r="A171" s="136" t="s">
        <v>252</v>
      </c>
      <c r="B171" s="136" t="s">
        <v>135</v>
      </c>
      <c r="C171" s="226">
        <v>6.0</v>
      </c>
      <c r="D171" s="226">
        <v>3.0</v>
      </c>
      <c r="E171" s="226">
        <v>0.0</v>
      </c>
      <c r="F171" s="226">
        <v>1.0</v>
      </c>
      <c r="G171" s="226">
        <v>0.0</v>
      </c>
      <c r="H171" s="226">
        <v>0.0</v>
      </c>
      <c r="I171" s="226">
        <v>0.0</v>
      </c>
    </row>
    <row r="172">
      <c r="A172" s="136" t="s">
        <v>253</v>
      </c>
      <c r="B172" s="136" t="s">
        <v>120</v>
      </c>
      <c r="C172" s="226">
        <v>9.0</v>
      </c>
      <c r="D172" s="226">
        <v>4.0</v>
      </c>
      <c r="E172" s="226">
        <v>0.0</v>
      </c>
      <c r="F172" s="226">
        <v>2.0</v>
      </c>
      <c r="G172" s="226">
        <v>0.0</v>
      </c>
      <c r="H172" s="226">
        <v>0.0</v>
      </c>
      <c r="I172" s="226">
        <v>0.0</v>
      </c>
    </row>
    <row r="173">
      <c r="A173" s="136" t="s">
        <v>253</v>
      </c>
      <c r="B173" s="136" t="s">
        <v>98</v>
      </c>
      <c r="C173" s="226">
        <v>10.0</v>
      </c>
      <c r="D173" s="226">
        <v>5.0</v>
      </c>
      <c r="E173" s="226">
        <v>0.0</v>
      </c>
      <c r="F173" s="226">
        <v>1.0</v>
      </c>
      <c r="G173" s="226">
        <v>0.0</v>
      </c>
      <c r="H173" s="226">
        <v>0.0</v>
      </c>
      <c r="I173" s="226">
        <v>0.0</v>
      </c>
    </row>
    <row r="174">
      <c r="A174" s="136" t="s">
        <v>253</v>
      </c>
      <c r="B174" s="136" t="s">
        <v>121</v>
      </c>
      <c r="C174" s="226">
        <v>10.0</v>
      </c>
      <c r="D174" s="226">
        <v>3.0</v>
      </c>
      <c r="E174" s="226">
        <v>0.0</v>
      </c>
      <c r="F174" s="226">
        <v>0.0</v>
      </c>
      <c r="G174" s="226">
        <v>0.0</v>
      </c>
      <c r="H174" s="226">
        <v>0.0</v>
      </c>
      <c r="I174" s="226">
        <v>0.0</v>
      </c>
    </row>
    <row r="175">
      <c r="A175" s="136" t="s">
        <v>253</v>
      </c>
      <c r="B175" s="136" t="s">
        <v>84</v>
      </c>
      <c r="C175" s="226">
        <v>7.0</v>
      </c>
      <c r="D175" s="226">
        <v>7.0</v>
      </c>
      <c r="E175" s="226">
        <v>0.0</v>
      </c>
      <c r="F175" s="226">
        <v>0.0</v>
      </c>
      <c r="G175" s="226">
        <v>0.0</v>
      </c>
      <c r="H175" s="226">
        <v>0.0</v>
      </c>
      <c r="I175" s="226">
        <v>0.0</v>
      </c>
    </row>
    <row r="176">
      <c r="A176" s="136" t="s">
        <v>254</v>
      </c>
      <c r="B176" s="136" t="s">
        <v>114</v>
      </c>
      <c r="C176" s="226">
        <v>14.0</v>
      </c>
      <c r="D176" s="226">
        <v>4.0</v>
      </c>
      <c r="E176" s="226">
        <v>2.0</v>
      </c>
      <c r="F176" s="226">
        <v>2.0</v>
      </c>
      <c r="G176" s="226">
        <v>0.0</v>
      </c>
      <c r="H176" s="226">
        <v>0.0</v>
      </c>
      <c r="I176" s="226">
        <v>0.0</v>
      </c>
    </row>
    <row r="177">
      <c r="A177" s="136" t="s">
        <v>254</v>
      </c>
      <c r="B177" s="136" t="s">
        <v>103</v>
      </c>
      <c r="C177" s="226">
        <v>12.0</v>
      </c>
      <c r="D177" s="226">
        <v>5.0</v>
      </c>
      <c r="E177" s="226">
        <v>0.0</v>
      </c>
      <c r="F177" s="226">
        <v>1.0</v>
      </c>
      <c r="G177" s="226">
        <v>0.0</v>
      </c>
      <c r="H177" s="226">
        <v>0.0</v>
      </c>
      <c r="I177" s="226">
        <v>0.0</v>
      </c>
    </row>
    <row r="178">
      <c r="A178" s="136" t="s">
        <v>254</v>
      </c>
      <c r="B178" s="136" t="s">
        <v>112</v>
      </c>
      <c r="C178" s="226">
        <v>13.0</v>
      </c>
      <c r="D178" s="226">
        <v>4.0</v>
      </c>
      <c r="E178" s="226">
        <v>0.0</v>
      </c>
      <c r="F178" s="226">
        <v>0.0</v>
      </c>
      <c r="G178" s="226">
        <v>0.0</v>
      </c>
      <c r="H178" s="226">
        <v>0.0</v>
      </c>
      <c r="I178" s="226">
        <v>0.0</v>
      </c>
    </row>
    <row r="179">
      <c r="A179" s="136" t="s">
        <v>254</v>
      </c>
      <c r="B179" s="136" t="s">
        <v>94</v>
      </c>
      <c r="C179" s="226">
        <v>10.0</v>
      </c>
      <c r="D179" s="226">
        <v>6.0</v>
      </c>
      <c r="E179" s="226">
        <v>0.0</v>
      </c>
      <c r="F179" s="226">
        <v>0.0</v>
      </c>
      <c r="G179" s="226">
        <v>0.0</v>
      </c>
      <c r="H179" s="226">
        <v>0.0</v>
      </c>
      <c r="I179" s="226">
        <v>0.0</v>
      </c>
    </row>
    <row r="180">
      <c r="A180" s="136" t="s">
        <v>255</v>
      </c>
      <c r="B180" s="136" t="s">
        <v>92</v>
      </c>
      <c r="C180" s="226">
        <v>9.0</v>
      </c>
      <c r="D180" s="226">
        <v>7.0</v>
      </c>
      <c r="E180" s="226">
        <v>0.0</v>
      </c>
      <c r="F180" s="226">
        <v>0.0</v>
      </c>
      <c r="G180" s="226">
        <v>0.0</v>
      </c>
      <c r="H180" s="226">
        <v>0.0</v>
      </c>
      <c r="I180" s="226">
        <v>0.0</v>
      </c>
    </row>
    <row r="181">
      <c r="A181" s="136" t="s">
        <v>255</v>
      </c>
      <c r="B181" s="136" t="s">
        <v>124</v>
      </c>
      <c r="C181" s="226">
        <v>12.0</v>
      </c>
      <c r="D181" s="226">
        <v>3.0</v>
      </c>
      <c r="E181" s="226">
        <v>1.0</v>
      </c>
      <c r="F181" s="226">
        <v>1.0</v>
      </c>
      <c r="G181" s="226">
        <v>0.0</v>
      </c>
      <c r="H181" s="226">
        <v>0.0</v>
      </c>
      <c r="I181" s="226">
        <v>0.0</v>
      </c>
    </row>
    <row r="182">
      <c r="A182" s="136" t="s">
        <v>255</v>
      </c>
      <c r="B182" s="136" t="s">
        <v>107</v>
      </c>
      <c r="C182" s="226">
        <v>13.0</v>
      </c>
      <c r="D182" s="226">
        <v>3.0</v>
      </c>
      <c r="E182" s="226">
        <v>0.0</v>
      </c>
      <c r="F182" s="226">
        <v>2.0</v>
      </c>
      <c r="G182" s="226">
        <v>0.0</v>
      </c>
      <c r="H182" s="226">
        <v>0.0</v>
      </c>
      <c r="I182" s="226">
        <v>0.0</v>
      </c>
    </row>
    <row r="183">
      <c r="A183" s="136" t="s">
        <v>255</v>
      </c>
      <c r="B183" s="136" t="s">
        <v>118</v>
      </c>
      <c r="C183" s="226">
        <v>11.0</v>
      </c>
      <c r="D183" s="226">
        <v>5.0</v>
      </c>
      <c r="E183" s="226">
        <v>0.0</v>
      </c>
      <c r="F183" s="226">
        <v>1.0</v>
      </c>
      <c r="G183" s="226">
        <v>0.0</v>
      </c>
      <c r="H183" s="226">
        <v>0.0</v>
      </c>
      <c r="I183" s="226">
        <v>0.0</v>
      </c>
    </row>
    <row r="184">
      <c r="A184" s="136" t="s">
        <v>256</v>
      </c>
      <c r="B184" s="136" t="s">
        <v>117</v>
      </c>
      <c r="C184" s="226">
        <v>19.0</v>
      </c>
      <c r="D184" s="226">
        <v>1.0</v>
      </c>
      <c r="E184" s="226">
        <v>0.0</v>
      </c>
      <c r="F184" s="226">
        <v>2.0</v>
      </c>
      <c r="G184" s="226">
        <v>0.0</v>
      </c>
      <c r="H184" s="226">
        <v>0.0</v>
      </c>
      <c r="I184" s="226">
        <v>0.0</v>
      </c>
    </row>
    <row r="185">
      <c r="A185" s="136" t="s">
        <v>256</v>
      </c>
      <c r="B185" s="136" t="s">
        <v>102</v>
      </c>
      <c r="C185" s="226">
        <v>14.0</v>
      </c>
      <c r="D185" s="226">
        <v>6.0</v>
      </c>
      <c r="E185" s="226">
        <v>3.0</v>
      </c>
      <c r="F185" s="226">
        <v>2.0</v>
      </c>
      <c r="G185" s="226">
        <v>0.0</v>
      </c>
      <c r="H185" s="226">
        <v>0.0</v>
      </c>
      <c r="I185" s="226">
        <v>0.0</v>
      </c>
    </row>
    <row r="186">
      <c r="A186" s="136" t="s">
        <v>256</v>
      </c>
      <c r="B186" s="136" t="s">
        <v>109</v>
      </c>
      <c r="C186" s="226">
        <v>13.0</v>
      </c>
      <c r="D186" s="226">
        <v>6.0</v>
      </c>
      <c r="E186" s="226">
        <v>0.0</v>
      </c>
      <c r="F186" s="226">
        <v>1.0</v>
      </c>
      <c r="G186" s="226">
        <v>0.0</v>
      </c>
      <c r="H186" s="226">
        <v>0.0</v>
      </c>
      <c r="I186" s="226">
        <v>0.0</v>
      </c>
    </row>
    <row r="187">
      <c r="A187" s="136" t="s">
        <v>256</v>
      </c>
      <c r="B187" s="136" t="s">
        <v>87</v>
      </c>
      <c r="C187" s="226">
        <v>14.0</v>
      </c>
      <c r="D187" s="226">
        <v>4.0</v>
      </c>
      <c r="E187" s="226">
        <v>4.0</v>
      </c>
      <c r="F187" s="226">
        <v>2.0</v>
      </c>
      <c r="G187" s="226">
        <v>0.0</v>
      </c>
      <c r="H187" s="226">
        <v>0.0</v>
      </c>
      <c r="I187" s="226">
        <v>0.0</v>
      </c>
    </row>
    <row r="188">
      <c r="A188" s="136" t="s">
        <v>257</v>
      </c>
      <c r="B188" s="136" t="s">
        <v>119</v>
      </c>
      <c r="C188" s="226">
        <v>22.0</v>
      </c>
      <c r="D188" s="226">
        <v>4.0</v>
      </c>
      <c r="E188" s="226">
        <v>1.0</v>
      </c>
      <c r="F188" s="226">
        <v>0.0</v>
      </c>
      <c r="G188" s="226">
        <v>0.0</v>
      </c>
      <c r="H188" s="226">
        <v>0.0</v>
      </c>
      <c r="I188" s="226">
        <v>0.0</v>
      </c>
    </row>
    <row r="189">
      <c r="A189" s="136" t="s">
        <v>257</v>
      </c>
      <c r="B189" s="136" t="s">
        <v>135</v>
      </c>
      <c r="C189" s="226">
        <v>24.0</v>
      </c>
      <c r="D189" s="226">
        <v>2.0</v>
      </c>
      <c r="E189" s="226">
        <v>1.0</v>
      </c>
      <c r="F189" s="226">
        <v>1.0</v>
      </c>
      <c r="G189" s="226">
        <v>1.0</v>
      </c>
      <c r="H189" s="226">
        <v>0.0</v>
      </c>
      <c r="I189" s="226">
        <v>0.0</v>
      </c>
    </row>
    <row r="190">
      <c r="A190" s="136" t="s">
        <v>257</v>
      </c>
      <c r="B190" s="136" t="s">
        <v>136</v>
      </c>
      <c r="C190" s="226">
        <v>23.0</v>
      </c>
      <c r="D190" s="226">
        <v>0.0</v>
      </c>
      <c r="E190" s="226">
        <v>0.0</v>
      </c>
      <c r="F190" s="226">
        <v>1.0</v>
      </c>
      <c r="G190" s="226">
        <v>0.0</v>
      </c>
      <c r="H190" s="226">
        <v>0.0</v>
      </c>
      <c r="I190" s="226">
        <v>1.0</v>
      </c>
    </row>
    <row r="191">
      <c r="A191" s="136" t="s">
        <v>257</v>
      </c>
      <c r="B191" s="136" t="s">
        <v>91</v>
      </c>
      <c r="C191" s="226">
        <v>14.0</v>
      </c>
      <c r="D191" s="226">
        <v>10.0</v>
      </c>
      <c r="E191" s="226">
        <v>2.0</v>
      </c>
      <c r="F191" s="226">
        <v>0.0</v>
      </c>
      <c r="G191" s="226">
        <v>0.0</v>
      </c>
      <c r="H191" s="226">
        <v>0.0</v>
      </c>
      <c r="I191" s="226">
        <v>0.0</v>
      </c>
    </row>
    <row r="192">
      <c r="A192" s="136" t="s">
        <v>258</v>
      </c>
      <c r="B192" s="136" t="s">
        <v>120</v>
      </c>
      <c r="C192" s="226">
        <v>21.0</v>
      </c>
      <c r="D192" s="226">
        <v>3.0</v>
      </c>
      <c r="E192" s="226">
        <v>1.0</v>
      </c>
      <c r="F192" s="226">
        <v>2.0</v>
      </c>
      <c r="G192" s="226">
        <v>0.0</v>
      </c>
      <c r="H192" s="226">
        <v>0.0</v>
      </c>
      <c r="I192" s="226">
        <v>0.0</v>
      </c>
    </row>
    <row r="193">
      <c r="A193" s="136" t="s">
        <v>258</v>
      </c>
      <c r="B193" s="136" t="s">
        <v>98</v>
      </c>
      <c r="C193" s="226">
        <v>19.0</v>
      </c>
      <c r="D193" s="226">
        <v>5.0</v>
      </c>
      <c r="E193" s="226">
        <v>0.0</v>
      </c>
      <c r="F193" s="226">
        <v>0.0</v>
      </c>
      <c r="G193" s="226">
        <v>0.0</v>
      </c>
      <c r="H193" s="226">
        <v>0.0</v>
      </c>
      <c r="I193" s="226">
        <v>0.0</v>
      </c>
    </row>
    <row r="194">
      <c r="A194" s="136" t="s">
        <v>258</v>
      </c>
      <c r="B194" s="136" t="s">
        <v>122</v>
      </c>
      <c r="C194" s="226">
        <v>18.0</v>
      </c>
      <c r="D194" s="226">
        <v>5.0</v>
      </c>
      <c r="E194" s="226">
        <v>1.0</v>
      </c>
      <c r="F194" s="226">
        <v>2.0</v>
      </c>
      <c r="G194" s="226">
        <v>0.0</v>
      </c>
      <c r="H194" s="226">
        <v>0.0</v>
      </c>
      <c r="I194" s="226">
        <v>0.0</v>
      </c>
    </row>
    <row r="195">
      <c r="A195" s="136" t="s">
        <v>258</v>
      </c>
      <c r="B195" s="136" t="s">
        <v>128</v>
      </c>
      <c r="C195" s="226">
        <v>18.0</v>
      </c>
      <c r="D195" s="226">
        <v>5.0</v>
      </c>
      <c r="E195" s="226">
        <v>0.0</v>
      </c>
      <c r="F195" s="226">
        <v>0.0</v>
      </c>
      <c r="G195" s="226">
        <v>0.0</v>
      </c>
      <c r="H195" s="226">
        <v>0.0</v>
      </c>
      <c r="I195" s="226">
        <v>0.0</v>
      </c>
    </row>
    <row r="196">
      <c r="A196" s="136" t="s">
        <v>259</v>
      </c>
      <c r="B196" s="136" t="s">
        <v>80</v>
      </c>
      <c r="C196" s="226">
        <v>6.0</v>
      </c>
      <c r="D196" s="226">
        <v>1.0</v>
      </c>
      <c r="E196" s="226">
        <v>0.0</v>
      </c>
      <c r="F196" s="226">
        <v>0.0</v>
      </c>
      <c r="G196" s="226">
        <v>0.0</v>
      </c>
      <c r="H196" s="226">
        <v>0.0</v>
      </c>
      <c r="I196" s="226">
        <v>0.0</v>
      </c>
    </row>
    <row r="197">
      <c r="A197" s="136" t="s">
        <v>259</v>
      </c>
      <c r="B197" s="136" t="s">
        <v>97</v>
      </c>
      <c r="C197" s="226">
        <v>6.0</v>
      </c>
      <c r="D197" s="226">
        <v>1.0</v>
      </c>
      <c r="E197" s="226">
        <v>1.0</v>
      </c>
      <c r="F197" s="226">
        <v>0.0</v>
      </c>
      <c r="G197" s="226">
        <v>0.0</v>
      </c>
      <c r="H197" s="226">
        <v>0.0</v>
      </c>
      <c r="I197" s="226">
        <v>0.0</v>
      </c>
    </row>
    <row r="198">
      <c r="A198" s="136" t="s">
        <v>259</v>
      </c>
      <c r="B198" s="136" t="s">
        <v>74</v>
      </c>
      <c r="C198" s="226">
        <v>2.0</v>
      </c>
      <c r="D198" s="226">
        <v>6.0</v>
      </c>
      <c r="E198" s="226">
        <v>0.0</v>
      </c>
      <c r="F198" s="226">
        <v>0.0</v>
      </c>
      <c r="G198" s="226">
        <v>0.0</v>
      </c>
      <c r="H198" s="226">
        <v>0.0</v>
      </c>
      <c r="I198" s="226">
        <v>0.0</v>
      </c>
    </row>
    <row r="199">
      <c r="A199" s="136" t="s">
        <v>259</v>
      </c>
      <c r="B199" s="136" t="s">
        <v>95</v>
      </c>
      <c r="C199" s="226">
        <v>5.0</v>
      </c>
      <c r="D199" s="226">
        <v>4.0</v>
      </c>
      <c r="E199" s="226">
        <v>2.0</v>
      </c>
      <c r="F199" s="226">
        <v>0.0</v>
      </c>
      <c r="G199" s="226">
        <v>0.0</v>
      </c>
      <c r="H199" s="226">
        <v>0.0</v>
      </c>
      <c r="I199" s="226">
        <v>0.0</v>
      </c>
    </row>
    <row r="200">
      <c r="A200" s="136" t="s">
        <v>260</v>
      </c>
      <c r="B200" s="136" t="s">
        <v>124</v>
      </c>
      <c r="C200" s="226">
        <v>16.0</v>
      </c>
      <c r="D200" s="226">
        <v>5.0</v>
      </c>
      <c r="E200" s="226">
        <v>0.0</v>
      </c>
      <c r="F200" s="226">
        <v>0.0</v>
      </c>
      <c r="G200" s="226">
        <v>0.0</v>
      </c>
      <c r="H200" s="226">
        <v>0.0</v>
      </c>
      <c r="I200" s="226">
        <v>0.0</v>
      </c>
    </row>
    <row r="201">
      <c r="A201" s="136" t="s">
        <v>260</v>
      </c>
      <c r="B201" s="136" t="s">
        <v>92</v>
      </c>
      <c r="C201" s="226">
        <v>15.0</v>
      </c>
      <c r="D201" s="226">
        <v>5.0</v>
      </c>
      <c r="E201" s="226">
        <v>0.0</v>
      </c>
      <c r="F201" s="226">
        <v>1.0</v>
      </c>
      <c r="G201" s="226">
        <v>0.0</v>
      </c>
      <c r="H201" s="226">
        <v>0.0</v>
      </c>
      <c r="I201" s="226">
        <v>0.0</v>
      </c>
    </row>
    <row r="202">
      <c r="A202" s="136" t="s">
        <v>260</v>
      </c>
      <c r="B202" s="136" t="s">
        <v>123</v>
      </c>
      <c r="C202" s="226">
        <v>18.0</v>
      </c>
      <c r="D202" s="226">
        <v>4.0</v>
      </c>
      <c r="E202" s="226">
        <v>0.0</v>
      </c>
      <c r="F202" s="226">
        <v>1.0</v>
      </c>
      <c r="G202" s="226">
        <v>0.0</v>
      </c>
      <c r="H202" s="226">
        <v>0.0</v>
      </c>
      <c r="I202" s="226">
        <v>0.0</v>
      </c>
    </row>
    <row r="203">
      <c r="A203" s="136" t="s">
        <v>260</v>
      </c>
      <c r="B203" s="136" t="s">
        <v>111</v>
      </c>
      <c r="C203" s="226">
        <v>17.0</v>
      </c>
      <c r="D203" s="226">
        <v>5.0</v>
      </c>
      <c r="E203" s="226">
        <v>0.0</v>
      </c>
      <c r="F203" s="226">
        <v>0.0</v>
      </c>
      <c r="G203" s="226">
        <v>0.0</v>
      </c>
      <c r="H203" s="226">
        <v>0.0</v>
      </c>
      <c r="I203" s="226">
        <v>0.0</v>
      </c>
    </row>
    <row r="204">
      <c r="A204" s="136" t="s">
        <v>261</v>
      </c>
      <c r="B204" s="136" t="s">
        <v>99</v>
      </c>
      <c r="C204" s="226">
        <v>11.0</v>
      </c>
      <c r="D204" s="226">
        <v>3.0</v>
      </c>
      <c r="E204" s="226">
        <v>1.0</v>
      </c>
      <c r="F204" s="226">
        <v>0.0</v>
      </c>
      <c r="G204" s="226">
        <v>0.0</v>
      </c>
      <c r="H204" s="226">
        <v>0.0</v>
      </c>
      <c r="I204" s="226">
        <v>0.0</v>
      </c>
    </row>
    <row r="205">
      <c r="A205" s="136" t="s">
        <v>261</v>
      </c>
      <c r="B205" s="136" t="s">
        <v>81</v>
      </c>
      <c r="C205" s="226">
        <v>8.0</v>
      </c>
      <c r="D205" s="226">
        <v>7.0</v>
      </c>
      <c r="E205" s="226">
        <v>0.0</v>
      </c>
      <c r="F205" s="226">
        <v>0.0</v>
      </c>
      <c r="G205" s="226">
        <v>0.0</v>
      </c>
      <c r="H205" s="226">
        <v>0.0</v>
      </c>
      <c r="I205" s="226">
        <v>0.0</v>
      </c>
    </row>
    <row r="206">
      <c r="A206" s="136" t="s">
        <v>261</v>
      </c>
      <c r="B206" s="136" t="s">
        <v>93</v>
      </c>
      <c r="C206" s="226">
        <v>11.0</v>
      </c>
      <c r="D206" s="226">
        <v>4.0</v>
      </c>
      <c r="E206" s="226">
        <v>0.0</v>
      </c>
      <c r="F206" s="226">
        <v>0.0</v>
      </c>
      <c r="G206" s="226">
        <v>0.0</v>
      </c>
      <c r="H206" s="226">
        <v>0.0</v>
      </c>
      <c r="I206" s="226">
        <v>0.0</v>
      </c>
    </row>
    <row r="207">
      <c r="A207" s="136" t="s">
        <v>261</v>
      </c>
      <c r="B207" s="136" t="s">
        <v>125</v>
      </c>
      <c r="C207" s="226">
        <v>13.0</v>
      </c>
      <c r="D207" s="226">
        <v>2.0</v>
      </c>
      <c r="E207" s="226">
        <v>1.0</v>
      </c>
      <c r="F207" s="226">
        <v>0.0</v>
      </c>
      <c r="G207" s="226">
        <v>0.0</v>
      </c>
      <c r="H207" s="226">
        <v>0.0</v>
      </c>
      <c r="I207" s="226">
        <v>0.0</v>
      </c>
    </row>
    <row r="208">
      <c r="A208" s="136" t="s">
        <v>262</v>
      </c>
      <c r="B208" s="136" t="s">
        <v>109</v>
      </c>
      <c r="C208" s="226">
        <v>10.0</v>
      </c>
      <c r="D208" s="226">
        <v>4.0</v>
      </c>
      <c r="E208" s="226">
        <v>0.0</v>
      </c>
      <c r="F208" s="226">
        <v>0.0</v>
      </c>
      <c r="G208" s="226">
        <v>0.0</v>
      </c>
      <c r="H208" s="226">
        <v>0.0</v>
      </c>
      <c r="I208" s="226">
        <v>0.0</v>
      </c>
    </row>
    <row r="209">
      <c r="A209" s="136" t="s">
        <v>262</v>
      </c>
      <c r="B209" s="136" t="s">
        <v>87</v>
      </c>
      <c r="C209" s="226">
        <v>10.0</v>
      </c>
      <c r="D209" s="226">
        <v>4.0</v>
      </c>
      <c r="E209" s="226">
        <v>0.0</v>
      </c>
      <c r="F209" s="226">
        <v>1.0</v>
      </c>
      <c r="G209" s="226">
        <v>0.0</v>
      </c>
      <c r="H209" s="226">
        <v>0.0</v>
      </c>
      <c r="I209" s="226">
        <v>0.0</v>
      </c>
    </row>
    <row r="210">
      <c r="A210" s="136" t="s">
        <v>262</v>
      </c>
      <c r="B210" s="136" t="s">
        <v>133</v>
      </c>
      <c r="C210" s="226">
        <v>8.0</v>
      </c>
      <c r="D210" s="226">
        <v>4.0</v>
      </c>
      <c r="E210" s="226">
        <v>0.0</v>
      </c>
      <c r="F210" s="226">
        <v>2.0</v>
      </c>
      <c r="G210" s="226">
        <v>0.0</v>
      </c>
      <c r="H210" s="226">
        <v>0.0</v>
      </c>
      <c r="I210" s="226">
        <v>0.0</v>
      </c>
    </row>
    <row r="211">
      <c r="A211" s="136" t="s">
        <v>262</v>
      </c>
      <c r="B211" s="136" t="s">
        <v>116</v>
      </c>
      <c r="C211" s="226">
        <v>6.0</v>
      </c>
      <c r="D211" s="226">
        <v>6.0</v>
      </c>
      <c r="E211" s="226">
        <v>0.0</v>
      </c>
      <c r="F211" s="226">
        <v>0.0</v>
      </c>
      <c r="G211" s="226">
        <v>0.0</v>
      </c>
      <c r="H211" s="226">
        <v>0.0</v>
      </c>
      <c r="I211" s="226">
        <v>0.0</v>
      </c>
    </row>
    <row r="212">
      <c r="A212" s="136" t="s">
        <v>263</v>
      </c>
      <c r="B212" s="136" t="s">
        <v>82</v>
      </c>
      <c r="C212" s="226">
        <v>10.0</v>
      </c>
      <c r="D212" s="226">
        <v>8.0</v>
      </c>
      <c r="E212" s="226">
        <v>0.0</v>
      </c>
      <c r="F212" s="226">
        <v>0.0</v>
      </c>
      <c r="G212" s="226">
        <v>0.0</v>
      </c>
      <c r="H212" s="226">
        <v>0.0</v>
      </c>
      <c r="I212" s="226">
        <v>0.0</v>
      </c>
    </row>
    <row r="213">
      <c r="A213" s="136" t="s">
        <v>263</v>
      </c>
      <c r="B213" s="136" t="s">
        <v>100</v>
      </c>
      <c r="C213" s="226">
        <v>15.0</v>
      </c>
      <c r="D213" s="226">
        <v>2.0</v>
      </c>
      <c r="E213" s="226">
        <v>0.0</v>
      </c>
      <c r="F213" s="226">
        <v>0.0</v>
      </c>
      <c r="G213" s="226">
        <v>0.0</v>
      </c>
      <c r="H213" s="226">
        <v>0.0</v>
      </c>
      <c r="I213" s="226">
        <v>0.0</v>
      </c>
    </row>
    <row r="214">
      <c r="A214" s="136" t="s">
        <v>263</v>
      </c>
      <c r="B214" s="136" t="s">
        <v>107</v>
      </c>
      <c r="C214" s="226">
        <v>13.0</v>
      </c>
      <c r="D214" s="226">
        <v>5.0</v>
      </c>
      <c r="E214" s="226">
        <v>1.0</v>
      </c>
      <c r="F214" s="226">
        <v>1.0</v>
      </c>
      <c r="G214" s="226">
        <v>0.0</v>
      </c>
      <c r="H214" s="226">
        <v>0.0</v>
      </c>
      <c r="I214" s="226">
        <v>0.0</v>
      </c>
    </row>
    <row r="215">
      <c r="A215" s="136" t="s">
        <v>263</v>
      </c>
      <c r="B215" s="136" t="s">
        <v>118</v>
      </c>
      <c r="C215" s="226">
        <v>14.0</v>
      </c>
      <c r="D215" s="226">
        <v>4.0</v>
      </c>
      <c r="E215" s="226">
        <v>0.0</v>
      </c>
      <c r="F215" s="226">
        <v>2.0</v>
      </c>
      <c r="G215" s="226">
        <v>0.0</v>
      </c>
      <c r="H215" s="226">
        <v>0.0</v>
      </c>
      <c r="I215" s="226">
        <v>0.0</v>
      </c>
    </row>
    <row r="216">
      <c r="A216" s="136" t="s">
        <v>264</v>
      </c>
      <c r="B216" s="136" t="s">
        <v>86</v>
      </c>
      <c r="C216" s="226">
        <v>10.0</v>
      </c>
      <c r="D216" s="226">
        <v>5.0</v>
      </c>
      <c r="E216" s="226">
        <v>1.0</v>
      </c>
      <c r="F216" s="226">
        <v>0.0</v>
      </c>
      <c r="G216" s="226">
        <v>0.0</v>
      </c>
      <c r="H216" s="226">
        <v>0.0</v>
      </c>
      <c r="I216" s="226">
        <v>0.0</v>
      </c>
    </row>
    <row r="217">
      <c r="A217" s="136" t="s">
        <v>264</v>
      </c>
      <c r="B217" s="136" t="s">
        <v>127</v>
      </c>
      <c r="C217" s="226">
        <v>12.0</v>
      </c>
      <c r="D217" s="226">
        <v>3.0</v>
      </c>
      <c r="E217" s="226">
        <v>0.0</v>
      </c>
      <c r="F217" s="226">
        <v>0.0</v>
      </c>
      <c r="G217" s="226">
        <v>0.0</v>
      </c>
      <c r="H217" s="226">
        <v>0.0</v>
      </c>
      <c r="I217" s="226">
        <v>0.0</v>
      </c>
    </row>
    <row r="218">
      <c r="A218" s="136" t="s">
        <v>264</v>
      </c>
      <c r="B218" s="136" t="s">
        <v>77</v>
      </c>
      <c r="C218" s="226">
        <v>10.0</v>
      </c>
      <c r="D218" s="226">
        <v>5.0</v>
      </c>
      <c r="E218" s="226">
        <v>1.0</v>
      </c>
      <c r="F218" s="226">
        <v>1.0</v>
      </c>
      <c r="G218" s="226">
        <v>0.0</v>
      </c>
      <c r="H218" s="226">
        <v>0.0</v>
      </c>
      <c r="I218" s="226">
        <v>0.0</v>
      </c>
    </row>
    <row r="219">
      <c r="A219" s="136" t="s">
        <v>264</v>
      </c>
      <c r="B219" s="136" t="s">
        <v>101</v>
      </c>
      <c r="C219" s="226">
        <v>11.0</v>
      </c>
      <c r="D219" s="226">
        <v>5.0</v>
      </c>
      <c r="E219" s="226">
        <v>0.0</v>
      </c>
      <c r="F219" s="226">
        <v>0.0</v>
      </c>
      <c r="G219" s="226">
        <v>0.0</v>
      </c>
      <c r="H219" s="226">
        <v>0.0</v>
      </c>
      <c r="I219" s="226">
        <v>0.0</v>
      </c>
    </row>
    <row r="220">
      <c r="A220" s="136" t="s">
        <v>265</v>
      </c>
      <c r="B220" s="136" t="s">
        <v>95</v>
      </c>
      <c r="C220" s="226">
        <v>11.0</v>
      </c>
      <c r="D220" s="226">
        <v>4.0</v>
      </c>
      <c r="E220" s="226">
        <v>0.0</v>
      </c>
      <c r="F220" s="226">
        <v>1.0</v>
      </c>
      <c r="G220" s="226">
        <v>0.0</v>
      </c>
      <c r="H220" s="226">
        <v>0.0</v>
      </c>
      <c r="I220" s="226">
        <v>0.0</v>
      </c>
    </row>
    <row r="221">
      <c r="A221" s="136" t="s">
        <v>265</v>
      </c>
      <c r="B221" s="136" t="s">
        <v>74</v>
      </c>
      <c r="C221" s="226">
        <v>8.0</v>
      </c>
      <c r="D221" s="226">
        <v>6.0</v>
      </c>
      <c r="E221" s="226">
        <v>1.0</v>
      </c>
      <c r="F221" s="226">
        <v>1.0</v>
      </c>
      <c r="G221" s="226">
        <v>0.0</v>
      </c>
      <c r="H221" s="226">
        <v>0.0</v>
      </c>
      <c r="I221" s="226">
        <v>0.0</v>
      </c>
    </row>
    <row r="222">
      <c r="A222" s="136" t="s">
        <v>265</v>
      </c>
      <c r="B222" s="136" t="s">
        <v>88</v>
      </c>
      <c r="C222" s="226">
        <v>10.0</v>
      </c>
      <c r="D222" s="226">
        <v>3.0</v>
      </c>
      <c r="E222" s="226">
        <v>2.0</v>
      </c>
      <c r="F222" s="226">
        <v>0.0</v>
      </c>
      <c r="G222" s="226">
        <v>0.0</v>
      </c>
      <c r="H222" s="226">
        <v>0.0</v>
      </c>
      <c r="I222" s="226">
        <v>0.0</v>
      </c>
    </row>
    <row r="223">
      <c r="A223" s="136" t="s">
        <v>265</v>
      </c>
      <c r="B223" s="136" t="s">
        <v>78</v>
      </c>
      <c r="C223" s="226">
        <v>9.0</v>
      </c>
      <c r="D223" s="226">
        <v>4.0</v>
      </c>
      <c r="E223" s="226">
        <v>1.0</v>
      </c>
      <c r="F223" s="226">
        <v>0.0</v>
      </c>
      <c r="G223" s="226">
        <v>0.0</v>
      </c>
      <c r="H223" s="226">
        <v>0.0</v>
      </c>
      <c r="I223" s="226">
        <v>0.0</v>
      </c>
    </row>
    <row r="224">
      <c r="A224" s="136" t="s">
        <v>266</v>
      </c>
      <c r="B224" s="136" t="s">
        <v>78</v>
      </c>
      <c r="C224" s="226">
        <v>7.0</v>
      </c>
      <c r="D224" s="226">
        <v>4.0</v>
      </c>
      <c r="E224" s="226">
        <v>1.0</v>
      </c>
      <c r="F224" s="226">
        <v>0.0</v>
      </c>
      <c r="G224" s="226">
        <v>0.0</v>
      </c>
      <c r="H224" s="226">
        <v>0.0</v>
      </c>
      <c r="I224" s="226">
        <v>0.0</v>
      </c>
    </row>
    <row r="225">
      <c r="A225" s="136" t="s">
        <v>266</v>
      </c>
      <c r="B225" s="136" t="s">
        <v>88</v>
      </c>
      <c r="C225" s="226">
        <v>7.0</v>
      </c>
      <c r="D225" s="226">
        <v>3.0</v>
      </c>
      <c r="E225" s="226">
        <v>1.0</v>
      </c>
      <c r="F225" s="226">
        <v>0.0</v>
      </c>
      <c r="G225" s="226">
        <v>0.0</v>
      </c>
      <c r="H225" s="226">
        <v>0.0</v>
      </c>
      <c r="I225" s="226">
        <v>0.0</v>
      </c>
    </row>
    <row r="226">
      <c r="A226" s="136" t="s">
        <v>266</v>
      </c>
      <c r="B226" s="136" t="s">
        <v>97</v>
      </c>
      <c r="C226" s="226">
        <v>6.0</v>
      </c>
      <c r="D226" s="226">
        <v>6.0</v>
      </c>
      <c r="E226" s="226">
        <v>0.0</v>
      </c>
      <c r="F226" s="226">
        <v>1.0</v>
      </c>
      <c r="G226" s="226">
        <v>0.0</v>
      </c>
      <c r="H226" s="226">
        <v>0.0</v>
      </c>
      <c r="I226" s="226">
        <v>0.0</v>
      </c>
    </row>
    <row r="227">
      <c r="A227" s="136" t="s">
        <v>266</v>
      </c>
      <c r="B227" s="136" t="s">
        <v>80</v>
      </c>
      <c r="C227" s="226">
        <v>8.0</v>
      </c>
      <c r="D227" s="226">
        <v>4.0</v>
      </c>
      <c r="E227" s="226">
        <v>0.0</v>
      </c>
      <c r="F227" s="226">
        <v>1.0</v>
      </c>
      <c r="G227" s="226">
        <v>0.0</v>
      </c>
      <c r="H227" s="226">
        <v>0.0</v>
      </c>
      <c r="I227" s="226">
        <v>0.0</v>
      </c>
    </row>
  </sheetData>
  <drawing r:id="rId1"/>
</worksheet>
</file>